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leg_\PycharmProjects\KiG_POS\vorlagen\"/>
    </mc:Choice>
  </mc:AlternateContent>
  <xr:revisionPtr revIDLastSave="0" documentId="13_ncr:1_{989F6B81-C7BF-4918-BB8E-111ADD46A6CE}" xr6:coauthVersionLast="47" xr6:coauthVersionMax="47" xr10:uidLastSave="{00000000-0000-0000-0000-000000000000}"/>
  <bookViews>
    <workbookView xWindow="-108" yWindow="-108" windowWidth="23256" windowHeight="12456" firstSheet="1" activeTab="7" xr2:uid="{00000000-000D-0000-FFFF-FFFF00000000}"/>
  </bookViews>
  <sheets>
    <sheet name="Start" sheetId="1" r:id="rId1"/>
    <sheet name="Kategorien" sheetId="2" r:id="rId2"/>
    <sheet name="Artikel" sheetId="3" r:id="rId3"/>
    <sheet name="Rezepte" sheetId="4" r:id="rId4"/>
    <sheet name="Kasse" sheetId="5" r:id="rId5"/>
    <sheet name="Verkäufe" sheetId="6" r:id="rId6"/>
    <sheet name="Bestandshistorie" sheetId="7" r:id="rId7"/>
    <sheet name="Einkaufsliste" sheetId="8" r:id="rId8"/>
    <sheet name="Statistik" sheetId="9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2" i="9" l="1"/>
  <c r="G402" i="9" s="1"/>
  <c r="D401" i="9"/>
  <c r="G401" i="9" s="1"/>
  <c r="D400" i="9"/>
  <c r="G400" i="9" s="1"/>
  <c r="D399" i="9"/>
  <c r="G399" i="9" s="1"/>
  <c r="G398" i="9"/>
  <c r="F398" i="9"/>
  <c r="E398" i="9"/>
  <c r="D398" i="9"/>
  <c r="G397" i="9"/>
  <c r="F397" i="9"/>
  <c r="E397" i="9"/>
  <c r="D397" i="9"/>
  <c r="G396" i="9"/>
  <c r="F396" i="9"/>
  <c r="E396" i="9"/>
  <c r="D396" i="9"/>
  <c r="G395" i="9"/>
  <c r="F395" i="9"/>
  <c r="E395" i="9"/>
  <c r="D395" i="9"/>
  <c r="G394" i="9"/>
  <c r="F394" i="9"/>
  <c r="E394" i="9"/>
  <c r="D394" i="9"/>
  <c r="G393" i="9"/>
  <c r="F393" i="9"/>
  <c r="E393" i="9"/>
  <c r="D393" i="9"/>
  <c r="G392" i="9"/>
  <c r="F392" i="9"/>
  <c r="E392" i="9"/>
  <c r="D392" i="9"/>
  <c r="G391" i="9"/>
  <c r="F391" i="9"/>
  <c r="E391" i="9"/>
  <c r="D391" i="9"/>
  <c r="G390" i="9"/>
  <c r="F390" i="9"/>
  <c r="E390" i="9"/>
  <c r="D390" i="9"/>
  <c r="G389" i="9"/>
  <c r="F389" i="9"/>
  <c r="E389" i="9"/>
  <c r="D389" i="9"/>
  <c r="G388" i="9"/>
  <c r="F388" i="9"/>
  <c r="E388" i="9"/>
  <c r="D388" i="9"/>
  <c r="G387" i="9"/>
  <c r="F387" i="9"/>
  <c r="E387" i="9"/>
  <c r="D387" i="9"/>
  <c r="G386" i="9"/>
  <c r="F386" i="9"/>
  <c r="E386" i="9"/>
  <c r="D386" i="9"/>
  <c r="G385" i="9"/>
  <c r="F385" i="9"/>
  <c r="E385" i="9"/>
  <c r="D385" i="9"/>
  <c r="G384" i="9"/>
  <c r="F384" i="9"/>
  <c r="E384" i="9"/>
  <c r="D384" i="9"/>
  <c r="G383" i="9"/>
  <c r="F383" i="9"/>
  <c r="E383" i="9"/>
  <c r="D383" i="9"/>
  <c r="G382" i="9"/>
  <c r="F382" i="9"/>
  <c r="E382" i="9"/>
  <c r="D382" i="9"/>
  <c r="G381" i="9"/>
  <c r="F381" i="9"/>
  <c r="E381" i="9"/>
  <c r="D381" i="9"/>
  <c r="G380" i="9"/>
  <c r="F380" i="9"/>
  <c r="E380" i="9"/>
  <c r="D380" i="9"/>
  <c r="G379" i="9"/>
  <c r="F379" i="9"/>
  <c r="E379" i="9"/>
  <c r="D379" i="9"/>
  <c r="G378" i="9"/>
  <c r="F378" i="9"/>
  <c r="E378" i="9"/>
  <c r="D378" i="9"/>
  <c r="G377" i="9"/>
  <c r="F377" i="9"/>
  <c r="E377" i="9"/>
  <c r="D377" i="9"/>
  <c r="G376" i="9"/>
  <c r="F376" i="9"/>
  <c r="E376" i="9"/>
  <c r="D376" i="9"/>
  <c r="G375" i="9"/>
  <c r="F375" i="9"/>
  <c r="E375" i="9"/>
  <c r="D375" i="9"/>
  <c r="G374" i="9"/>
  <c r="F374" i="9"/>
  <c r="E374" i="9"/>
  <c r="D374" i="9"/>
  <c r="G373" i="9"/>
  <c r="F373" i="9"/>
  <c r="E373" i="9"/>
  <c r="D373" i="9"/>
  <c r="G372" i="9"/>
  <c r="F372" i="9"/>
  <c r="E372" i="9"/>
  <c r="D372" i="9"/>
  <c r="G371" i="9"/>
  <c r="F371" i="9"/>
  <c r="E371" i="9"/>
  <c r="D371" i="9"/>
  <c r="G370" i="9"/>
  <c r="F370" i="9"/>
  <c r="E370" i="9"/>
  <c r="D370" i="9"/>
  <c r="G369" i="9"/>
  <c r="F369" i="9"/>
  <c r="E369" i="9"/>
  <c r="D369" i="9"/>
  <c r="G368" i="9"/>
  <c r="F368" i="9"/>
  <c r="E368" i="9"/>
  <c r="D368" i="9"/>
  <c r="G367" i="9"/>
  <c r="F367" i="9"/>
  <c r="E367" i="9"/>
  <c r="D367" i="9"/>
  <c r="G366" i="9"/>
  <c r="F366" i="9"/>
  <c r="E366" i="9"/>
  <c r="D366" i="9"/>
  <c r="G365" i="9"/>
  <c r="F365" i="9"/>
  <c r="E365" i="9"/>
  <c r="D365" i="9"/>
  <c r="G364" i="9"/>
  <c r="F364" i="9"/>
  <c r="E364" i="9"/>
  <c r="D364" i="9"/>
  <c r="G363" i="9"/>
  <c r="F363" i="9"/>
  <c r="E363" i="9"/>
  <c r="D363" i="9"/>
  <c r="G362" i="9"/>
  <c r="F362" i="9"/>
  <c r="E362" i="9"/>
  <c r="D362" i="9"/>
  <c r="G361" i="9"/>
  <c r="F361" i="9"/>
  <c r="E361" i="9"/>
  <c r="D361" i="9"/>
  <c r="G360" i="9"/>
  <c r="F360" i="9"/>
  <c r="E360" i="9"/>
  <c r="D360" i="9"/>
  <c r="G359" i="9"/>
  <c r="F359" i="9"/>
  <c r="E359" i="9"/>
  <c r="D359" i="9"/>
  <c r="G358" i="9"/>
  <c r="F358" i="9"/>
  <c r="E358" i="9"/>
  <c r="D358" i="9"/>
  <c r="G357" i="9"/>
  <c r="F357" i="9"/>
  <c r="E357" i="9"/>
  <c r="D357" i="9"/>
  <c r="G356" i="9"/>
  <c r="F356" i="9"/>
  <c r="E356" i="9"/>
  <c r="D356" i="9"/>
  <c r="G355" i="9"/>
  <c r="F355" i="9"/>
  <c r="E355" i="9"/>
  <c r="D355" i="9"/>
  <c r="G354" i="9"/>
  <c r="F354" i="9"/>
  <c r="E354" i="9"/>
  <c r="D354" i="9"/>
  <c r="G353" i="9"/>
  <c r="F353" i="9"/>
  <c r="E353" i="9"/>
  <c r="D353" i="9"/>
  <c r="G352" i="9"/>
  <c r="F352" i="9"/>
  <c r="E352" i="9"/>
  <c r="D352" i="9"/>
  <c r="G351" i="9"/>
  <c r="F351" i="9"/>
  <c r="E351" i="9"/>
  <c r="D351" i="9"/>
  <c r="G350" i="9"/>
  <c r="F350" i="9"/>
  <c r="E350" i="9"/>
  <c r="D350" i="9"/>
  <c r="G349" i="9"/>
  <c r="F349" i="9"/>
  <c r="E349" i="9"/>
  <c r="D349" i="9"/>
  <c r="G348" i="9"/>
  <c r="F348" i="9"/>
  <c r="E348" i="9"/>
  <c r="D348" i="9"/>
  <c r="G347" i="9"/>
  <c r="F347" i="9"/>
  <c r="E347" i="9"/>
  <c r="D347" i="9"/>
  <c r="G346" i="9"/>
  <c r="F346" i="9"/>
  <c r="E346" i="9"/>
  <c r="D346" i="9"/>
  <c r="G345" i="9"/>
  <c r="F345" i="9"/>
  <c r="E345" i="9"/>
  <c r="D345" i="9"/>
  <c r="G344" i="9"/>
  <c r="F344" i="9"/>
  <c r="E344" i="9"/>
  <c r="D344" i="9"/>
  <c r="G343" i="9"/>
  <c r="F343" i="9"/>
  <c r="E343" i="9"/>
  <c r="D343" i="9"/>
  <c r="G342" i="9"/>
  <c r="F342" i="9"/>
  <c r="E342" i="9"/>
  <c r="D342" i="9"/>
  <c r="G341" i="9"/>
  <c r="F341" i="9"/>
  <c r="E341" i="9"/>
  <c r="D341" i="9"/>
  <c r="G340" i="9"/>
  <c r="F340" i="9"/>
  <c r="E340" i="9"/>
  <c r="D340" i="9"/>
  <c r="G339" i="9"/>
  <c r="F339" i="9"/>
  <c r="E339" i="9"/>
  <c r="D339" i="9"/>
  <c r="G338" i="9"/>
  <c r="F338" i="9"/>
  <c r="E338" i="9"/>
  <c r="D338" i="9"/>
  <c r="G337" i="9"/>
  <c r="F337" i="9"/>
  <c r="E337" i="9"/>
  <c r="D337" i="9"/>
  <c r="G336" i="9"/>
  <c r="F336" i="9"/>
  <c r="E336" i="9"/>
  <c r="D336" i="9"/>
  <c r="G335" i="9"/>
  <c r="F335" i="9"/>
  <c r="E335" i="9"/>
  <c r="D335" i="9"/>
  <c r="G334" i="9"/>
  <c r="F334" i="9"/>
  <c r="E334" i="9"/>
  <c r="D334" i="9"/>
  <c r="G333" i="9"/>
  <c r="F333" i="9"/>
  <c r="E333" i="9"/>
  <c r="D333" i="9"/>
  <c r="G332" i="9"/>
  <c r="F332" i="9"/>
  <c r="E332" i="9"/>
  <c r="D332" i="9"/>
  <c r="G331" i="9"/>
  <c r="F331" i="9"/>
  <c r="E331" i="9"/>
  <c r="D331" i="9"/>
  <c r="G330" i="9"/>
  <c r="F330" i="9"/>
  <c r="E330" i="9"/>
  <c r="D330" i="9"/>
  <c r="G329" i="9"/>
  <c r="F329" i="9"/>
  <c r="E329" i="9"/>
  <c r="D329" i="9"/>
  <c r="G328" i="9"/>
  <c r="F328" i="9"/>
  <c r="E328" i="9"/>
  <c r="D328" i="9"/>
  <c r="G327" i="9"/>
  <c r="F327" i="9"/>
  <c r="E327" i="9"/>
  <c r="D327" i="9"/>
  <c r="G326" i="9"/>
  <c r="F326" i="9"/>
  <c r="E326" i="9"/>
  <c r="D326" i="9"/>
  <c r="G325" i="9"/>
  <c r="F325" i="9"/>
  <c r="E325" i="9"/>
  <c r="D325" i="9"/>
  <c r="G324" i="9"/>
  <c r="F324" i="9"/>
  <c r="E324" i="9"/>
  <c r="D324" i="9"/>
  <c r="G323" i="9"/>
  <c r="F323" i="9"/>
  <c r="E323" i="9"/>
  <c r="D323" i="9"/>
  <c r="G322" i="9"/>
  <c r="F322" i="9"/>
  <c r="E322" i="9"/>
  <c r="D322" i="9"/>
  <c r="G321" i="9"/>
  <c r="F321" i="9"/>
  <c r="E321" i="9"/>
  <c r="D321" i="9"/>
  <c r="G320" i="9"/>
  <c r="F320" i="9"/>
  <c r="E320" i="9"/>
  <c r="D320" i="9"/>
  <c r="G319" i="9"/>
  <c r="F319" i="9"/>
  <c r="E319" i="9"/>
  <c r="D319" i="9"/>
  <c r="G318" i="9"/>
  <c r="F318" i="9"/>
  <c r="E318" i="9"/>
  <c r="D318" i="9"/>
  <c r="G317" i="9"/>
  <c r="F317" i="9"/>
  <c r="E317" i="9"/>
  <c r="D317" i="9"/>
  <c r="G316" i="9"/>
  <c r="F316" i="9"/>
  <c r="E316" i="9"/>
  <c r="D316" i="9"/>
  <c r="G315" i="9"/>
  <c r="F315" i="9"/>
  <c r="E315" i="9"/>
  <c r="D315" i="9"/>
  <c r="G314" i="9"/>
  <c r="F314" i="9"/>
  <c r="E314" i="9"/>
  <c r="D314" i="9"/>
  <c r="G313" i="9"/>
  <c r="F313" i="9"/>
  <c r="E313" i="9"/>
  <c r="D313" i="9"/>
  <c r="G312" i="9"/>
  <c r="F312" i="9"/>
  <c r="E312" i="9"/>
  <c r="D312" i="9"/>
  <c r="G311" i="9"/>
  <c r="F311" i="9"/>
  <c r="E311" i="9"/>
  <c r="D311" i="9"/>
  <c r="G310" i="9"/>
  <c r="F310" i="9"/>
  <c r="E310" i="9"/>
  <c r="D310" i="9"/>
  <c r="G309" i="9"/>
  <c r="F309" i="9"/>
  <c r="E309" i="9"/>
  <c r="D309" i="9"/>
  <c r="G308" i="9"/>
  <c r="F308" i="9"/>
  <c r="E308" i="9"/>
  <c r="D308" i="9"/>
  <c r="G307" i="9"/>
  <c r="F307" i="9"/>
  <c r="E307" i="9"/>
  <c r="D307" i="9"/>
  <c r="G306" i="9"/>
  <c r="F306" i="9"/>
  <c r="E306" i="9"/>
  <c r="D306" i="9"/>
  <c r="G305" i="9"/>
  <c r="F305" i="9"/>
  <c r="E305" i="9"/>
  <c r="D305" i="9"/>
  <c r="G304" i="9"/>
  <c r="F304" i="9"/>
  <c r="E304" i="9"/>
  <c r="D304" i="9"/>
  <c r="G303" i="9"/>
  <c r="F303" i="9"/>
  <c r="E303" i="9"/>
  <c r="D303" i="9"/>
  <c r="G302" i="9"/>
  <c r="F302" i="9"/>
  <c r="E302" i="9"/>
  <c r="D302" i="9"/>
  <c r="G301" i="9"/>
  <c r="F301" i="9"/>
  <c r="E301" i="9"/>
  <c r="D301" i="9"/>
  <c r="G300" i="9"/>
  <c r="F300" i="9"/>
  <c r="E300" i="9"/>
  <c r="D300" i="9"/>
  <c r="G299" i="9"/>
  <c r="F299" i="9"/>
  <c r="E299" i="9"/>
  <c r="D299" i="9"/>
  <c r="G298" i="9"/>
  <c r="F298" i="9"/>
  <c r="E298" i="9"/>
  <c r="D298" i="9"/>
  <c r="G297" i="9"/>
  <c r="F297" i="9"/>
  <c r="E297" i="9"/>
  <c r="D297" i="9"/>
  <c r="G296" i="9"/>
  <c r="F296" i="9"/>
  <c r="E296" i="9"/>
  <c r="D296" i="9"/>
  <c r="G295" i="9"/>
  <c r="F295" i="9"/>
  <c r="E295" i="9"/>
  <c r="D295" i="9"/>
  <c r="G294" i="9"/>
  <c r="F294" i="9"/>
  <c r="E294" i="9"/>
  <c r="D294" i="9"/>
  <c r="G293" i="9"/>
  <c r="F293" i="9"/>
  <c r="E293" i="9"/>
  <c r="D293" i="9"/>
  <c r="G292" i="9"/>
  <c r="F292" i="9"/>
  <c r="E292" i="9"/>
  <c r="D292" i="9"/>
  <c r="G291" i="9"/>
  <c r="F291" i="9"/>
  <c r="E291" i="9"/>
  <c r="D291" i="9"/>
  <c r="G290" i="9"/>
  <c r="F290" i="9"/>
  <c r="E290" i="9"/>
  <c r="D290" i="9"/>
  <c r="G289" i="9"/>
  <c r="F289" i="9"/>
  <c r="E289" i="9"/>
  <c r="D289" i="9"/>
  <c r="G288" i="9"/>
  <c r="F288" i="9"/>
  <c r="E288" i="9"/>
  <c r="D288" i="9"/>
  <c r="G287" i="9"/>
  <c r="F287" i="9"/>
  <c r="E287" i="9"/>
  <c r="D287" i="9"/>
  <c r="G286" i="9"/>
  <c r="F286" i="9"/>
  <c r="E286" i="9"/>
  <c r="D286" i="9"/>
  <c r="G285" i="9"/>
  <c r="F285" i="9"/>
  <c r="E285" i="9"/>
  <c r="D285" i="9"/>
  <c r="G284" i="9"/>
  <c r="F284" i="9"/>
  <c r="E284" i="9"/>
  <c r="D284" i="9"/>
  <c r="G283" i="9"/>
  <c r="F283" i="9"/>
  <c r="E283" i="9"/>
  <c r="D283" i="9"/>
  <c r="G282" i="9"/>
  <c r="F282" i="9"/>
  <c r="E282" i="9"/>
  <c r="D282" i="9"/>
  <c r="G281" i="9"/>
  <c r="F281" i="9"/>
  <c r="E281" i="9"/>
  <c r="D281" i="9"/>
  <c r="G280" i="9"/>
  <c r="F280" i="9"/>
  <c r="E280" i="9"/>
  <c r="D280" i="9"/>
  <c r="G279" i="9"/>
  <c r="F279" i="9"/>
  <c r="E279" i="9"/>
  <c r="D279" i="9"/>
  <c r="G278" i="9"/>
  <c r="F278" i="9"/>
  <c r="E278" i="9"/>
  <c r="D278" i="9"/>
  <c r="G277" i="9"/>
  <c r="F277" i="9"/>
  <c r="E277" i="9"/>
  <c r="D277" i="9"/>
  <c r="G276" i="9"/>
  <c r="F276" i="9"/>
  <c r="E276" i="9"/>
  <c r="D276" i="9"/>
  <c r="G275" i="9"/>
  <c r="F275" i="9"/>
  <c r="E275" i="9"/>
  <c r="D275" i="9"/>
  <c r="G274" i="9"/>
  <c r="F274" i="9"/>
  <c r="E274" i="9"/>
  <c r="D274" i="9"/>
  <c r="G273" i="9"/>
  <c r="F273" i="9"/>
  <c r="E273" i="9"/>
  <c r="D273" i="9"/>
  <c r="G272" i="9"/>
  <c r="F272" i="9"/>
  <c r="E272" i="9"/>
  <c r="D272" i="9"/>
  <c r="G271" i="9"/>
  <c r="F271" i="9"/>
  <c r="E271" i="9"/>
  <c r="D271" i="9"/>
  <c r="G270" i="9"/>
  <c r="F270" i="9"/>
  <c r="E270" i="9"/>
  <c r="D270" i="9"/>
  <c r="G269" i="9"/>
  <c r="F269" i="9"/>
  <c r="E269" i="9"/>
  <c r="D269" i="9"/>
  <c r="G268" i="9"/>
  <c r="F268" i="9"/>
  <c r="E268" i="9"/>
  <c r="D268" i="9"/>
  <c r="G267" i="9"/>
  <c r="F267" i="9"/>
  <c r="E267" i="9"/>
  <c r="D267" i="9"/>
  <c r="G266" i="9"/>
  <c r="F266" i="9"/>
  <c r="E266" i="9"/>
  <c r="D266" i="9"/>
  <c r="G265" i="9"/>
  <c r="F265" i="9"/>
  <c r="E265" i="9"/>
  <c r="D265" i="9"/>
  <c r="G264" i="9"/>
  <c r="F264" i="9"/>
  <c r="E264" i="9"/>
  <c r="D264" i="9"/>
  <c r="G263" i="9"/>
  <c r="F263" i="9"/>
  <c r="E263" i="9"/>
  <c r="D263" i="9"/>
  <c r="G262" i="9"/>
  <c r="F262" i="9"/>
  <c r="E262" i="9"/>
  <c r="D262" i="9"/>
  <c r="G261" i="9"/>
  <c r="F261" i="9"/>
  <c r="E261" i="9"/>
  <c r="D261" i="9"/>
  <c r="G260" i="9"/>
  <c r="F260" i="9"/>
  <c r="E260" i="9"/>
  <c r="D260" i="9"/>
  <c r="G259" i="9"/>
  <c r="F259" i="9"/>
  <c r="E259" i="9"/>
  <c r="D259" i="9"/>
  <c r="G258" i="9"/>
  <c r="F258" i="9"/>
  <c r="E258" i="9"/>
  <c r="D258" i="9"/>
  <c r="G257" i="9"/>
  <c r="F257" i="9"/>
  <c r="E257" i="9"/>
  <c r="D257" i="9"/>
  <c r="G256" i="9"/>
  <c r="F256" i="9"/>
  <c r="E256" i="9"/>
  <c r="D256" i="9"/>
  <c r="G255" i="9"/>
  <c r="F255" i="9"/>
  <c r="E255" i="9"/>
  <c r="D255" i="9"/>
  <c r="G254" i="9"/>
  <c r="F254" i="9"/>
  <c r="E254" i="9"/>
  <c r="D254" i="9"/>
  <c r="G253" i="9"/>
  <c r="F253" i="9"/>
  <c r="E253" i="9"/>
  <c r="D253" i="9"/>
  <c r="G252" i="9"/>
  <c r="F252" i="9"/>
  <c r="E252" i="9"/>
  <c r="D252" i="9"/>
  <c r="G251" i="9"/>
  <c r="F251" i="9"/>
  <c r="E251" i="9"/>
  <c r="D251" i="9"/>
  <c r="G250" i="9"/>
  <c r="F250" i="9"/>
  <c r="E250" i="9"/>
  <c r="D250" i="9"/>
  <c r="G249" i="9"/>
  <c r="F249" i="9"/>
  <c r="E249" i="9"/>
  <c r="D249" i="9"/>
  <c r="G248" i="9"/>
  <c r="F248" i="9"/>
  <c r="E248" i="9"/>
  <c r="D248" i="9"/>
  <c r="G247" i="9"/>
  <c r="F247" i="9"/>
  <c r="E247" i="9"/>
  <c r="D247" i="9"/>
  <c r="G246" i="9"/>
  <c r="F246" i="9"/>
  <c r="E246" i="9"/>
  <c r="D246" i="9"/>
  <c r="G245" i="9"/>
  <c r="F245" i="9"/>
  <c r="E245" i="9"/>
  <c r="D245" i="9"/>
  <c r="G244" i="9"/>
  <c r="F244" i="9"/>
  <c r="E244" i="9"/>
  <c r="D244" i="9"/>
  <c r="G243" i="9"/>
  <c r="F243" i="9"/>
  <c r="E243" i="9"/>
  <c r="D243" i="9"/>
  <c r="G242" i="9"/>
  <c r="F242" i="9"/>
  <c r="E242" i="9"/>
  <c r="D242" i="9"/>
  <c r="G241" i="9"/>
  <c r="F241" i="9"/>
  <c r="E241" i="9"/>
  <c r="D241" i="9"/>
  <c r="G240" i="9"/>
  <c r="F240" i="9"/>
  <c r="E240" i="9"/>
  <c r="D240" i="9"/>
  <c r="G239" i="9"/>
  <c r="F239" i="9"/>
  <c r="E239" i="9"/>
  <c r="D239" i="9"/>
  <c r="G238" i="9"/>
  <c r="F238" i="9"/>
  <c r="E238" i="9"/>
  <c r="D238" i="9"/>
  <c r="G237" i="9"/>
  <c r="F237" i="9"/>
  <c r="E237" i="9"/>
  <c r="D237" i="9"/>
  <c r="G236" i="9"/>
  <c r="F236" i="9"/>
  <c r="E236" i="9"/>
  <c r="D236" i="9"/>
  <c r="G235" i="9"/>
  <c r="F235" i="9"/>
  <c r="E235" i="9"/>
  <c r="D235" i="9"/>
  <c r="G234" i="9"/>
  <c r="F234" i="9"/>
  <c r="E234" i="9"/>
  <c r="D234" i="9"/>
  <c r="G233" i="9"/>
  <c r="F233" i="9"/>
  <c r="E233" i="9"/>
  <c r="D233" i="9"/>
  <c r="G232" i="9"/>
  <c r="F232" i="9"/>
  <c r="E232" i="9"/>
  <c r="D232" i="9"/>
  <c r="G231" i="9"/>
  <c r="F231" i="9"/>
  <c r="E231" i="9"/>
  <c r="D231" i="9"/>
  <c r="G230" i="9"/>
  <c r="F230" i="9"/>
  <c r="E230" i="9"/>
  <c r="D230" i="9"/>
  <c r="G229" i="9"/>
  <c r="F229" i="9"/>
  <c r="E229" i="9"/>
  <c r="D229" i="9"/>
  <c r="G228" i="9"/>
  <c r="F228" i="9"/>
  <c r="E228" i="9"/>
  <c r="D228" i="9"/>
  <c r="G227" i="9"/>
  <c r="F227" i="9"/>
  <c r="E227" i="9"/>
  <c r="D227" i="9"/>
  <c r="G226" i="9"/>
  <c r="F226" i="9"/>
  <c r="E226" i="9"/>
  <c r="D226" i="9"/>
  <c r="G225" i="9"/>
  <c r="F225" i="9"/>
  <c r="E225" i="9"/>
  <c r="D225" i="9"/>
  <c r="G224" i="9"/>
  <c r="F224" i="9"/>
  <c r="E224" i="9"/>
  <c r="D224" i="9"/>
  <c r="G223" i="9"/>
  <c r="F223" i="9"/>
  <c r="E223" i="9"/>
  <c r="D223" i="9"/>
  <c r="G222" i="9"/>
  <c r="F222" i="9"/>
  <c r="E222" i="9"/>
  <c r="D222" i="9"/>
  <c r="G221" i="9"/>
  <c r="F221" i="9"/>
  <c r="E221" i="9"/>
  <c r="D221" i="9"/>
  <c r="G220" i="9"/>
  <c r="F220" i="9"/>
  <c r="E220" i="9"/>
  <c r="D220" i="9"/>
  <c r="G219" i="9"/>
  <c r="F219" i="9"/>
  <c r="E219" i="9"/>
  <c r="D219" i="9"/>
  <c r="G218" i="9"/>
  <c r="F218" i="9"/>
  <c r="E218" i="9"/>
  <c r="D218" i="9"/>
  <c r="G217" i="9"/>
  <c r="F217" i="9"/>
  <c r="E217" i="9"/>
  <c r="D217" i="9"/>
  <c r="G216" i="9"/>
  <c r="F216" i="9"/>
  <c r="E216" i="9"/>
  <c r="D216" i="9"/>
  <c r="G215" i="9"/>
  <c r="F215" i="9"/>
  <c r="E215" i="9"/>
  <c r="D215" i="9"/>
  <c r="G214" i="9"/>
  <c r="F214" i="9"/>
  <c r="E214" i="9"/>
  <c r="D214" i="9"/>
  <c r="G213" i="9"/>
  <c r="F213" i="9"/>
  <c r="E213" i="9"/>
  <c r="D213" i="9"/>
  <c r="G212" i="9"/>
  <c r="F212" i="9"/>
  <c r="E212" i="9"/>
  <c r="D212" i="9"/>
  <c r="G211" i="9"/>
  <c r="F211" i="9"/>
  <c r="E211" i="9"/>
  <c r="D211" i="9"/>
  <c r="G210" i="9"/>
  <c r="F210" i="9"/>
  <c r="E210" i="9"/>
  <c r="D210" i="9"/>
  <c r="G209" i="9"/>
  <c r="F209" i="9"/>
  <c r="E209" i="9"/>
  <c r="D209" i="9"/>
  <c r="G208" i="9"/>
  <c r="F208" i="9"/>
  <c r="E208" i="9"/>
  <c r="D208" i="9"/>
  <c r="G207" i="9"/>
  <c r="F207" i="9"/>
  <c r="E207" i="9"/>
  <c r="D207" i="9"/>
  <c r="G206" i="9"/>
  <c r="F206" i="9"/>
  <c r="E206" i="9"/>
  <c r="D206" i="9"/>
  <c r="G205" i="9"/>
  <c r="F205" i="9"/>
  <c r="E205" i="9"/>
  <c r="D205" i="9"/>
  <c r="G204" i="9"/>
  <c r="F204" i="9"/>
  <c r="E204" i="9"/>
  <c r="D204" i="9"/>
  <c r="G203" i="9"/>
  <c r="F203" i="9"/>
  <c r="E203" i="9"/>
  <c r="D203" i="9"/>
  <c r="G202" i="9"/>
  <c r="F202" i="9"/>
  <c r="E202" i="9"/>
  <c r="D202" i="9"/>
  <c r="G201" i="9"/>
  <c r="F201" i="9"/>
  <c r="E201" i="9"/>
  <c r="D201" i="9"/>
  <c r="G200" i="9"/>
  <c r="F200" i="9"/>
  <c r="E200" i="9"/>
  <c r="D200" i="9"/>
  <c r="G199" i="9"/>
  <c r="F199" i="9"/>
  <c r="E199" i="9"/>
  <c r="D199" i="9"/>
  <c r="G198" i="9"/>
  <c r="F198" i="9"/>
  <c r="E198" i="9"/>
  <c r="D198" i="9"/>
  <c r="G197" i="9"/>
  <c r="F197" i="9"/>
  <c r="E197" i="9"/>
  <c r="D197" i="9"/>
  <c r="G196" i="9"/>
  <c r="F196" i="9"/>
  <c r="E196" i="9"/>
  <c r="D196" i="9"/>
  <c r="G195" i="9"/>
  <c r="F195" i="9"/>
  <c r="E195" i="9"/>
  <c r="D195" i="9"/>
  <c r="G194" i="9"/>
  <c r="F194" i="9"/>
  <c r="E194" i="9"/>
  <c r="D194" i="9"/>
  <c r="G193" i="9"/>
  <c r="F193" i="9"/>
  <c r="E193" i="9"/>
  <c r="D193" i="9"/>
  <c r="G192" i="9"/>
  <c r="F192" i="9"/>
  <c r="E192" i="9"/>
  <c r="D192" i="9"/>
  <c r="G191" i="9"/>
  <c r="F191" i="9"/>
  <c r="E191" i="9"/>
  <c r="D191" i="9"/>
  <c r="G190" i="9"/>
  <c r="F190" i="9"/>
  <c r="E190" i="9"/>
  <c r="D190" i="9"/>
  <c r="G189" i="9"/>
  <c r="F189" i="9"/>
  <c r="E189" i="9"/>
  <c r="D189" i="9"/>
  <c r="G188" i="9"/>
  <c r="F188" i="9"/>
  <c r="E188" i="9"/>
  <c r="D188" i="9"/>
  <c r="G187" i="9"/>
  <c r="F187" i="9"/>
  <c r="E187" i="9"/>
  <c r="D187" i="9"/>
  <c r="G186" i="9"/>
  <c r="F186" i="9"/>
  <c r="E186" i="9"/>
  <c r="D186" i="9"/>
  <c r="G185" i="9"/>
  <c r="F185" i="9"/>
  <c r="E185" i="9"/>
  <c r="D185" i="9"/>
  <c r="G184" i="9"/>
  <c r="F184" i="9"/>
  <c r="E184" i="9"/>
  <c r="D184" i="9"/>
  <c r="G183" i="9"/>
  <c r="F183" i="9"/>
  <c r="E183" i="9"/>
  <c r="D183" i="9"/>
  <c r="G182" i="9"/>
  <c r="F182" i="9"/>
  <c r="E182" i="9"/>
  <c r="D182" i="9"/>
  <c r="G181" i="9"/>
  <c r="F181" i="9"/>
  <c r="E181" i="9"/>
  <c r="D181" i="9"/>
  <c r="G180" i="9"/>
  <c r="F180" i="9"/>
  <c r="E180" i="9"/>
  <c r="D180" i="9"/>
  <c r="G179" i="9"/>
  <c r="F179" i="9"/>
  <c r="E179" i="9"/>
  <c r="D179" i="9"/>
  <c r="G178" i="9"/>
  <c r="F178" i="9"/>
  <c r="E178" i="9"/>
  <c r="D178" i="9"/>
  <c r="G177" i="9"/>
  <c r="F177" i="9"/>
  <c r="E177" i="9"/>
  <c r="D177" i="9"/>
  <c r="G176" i="9"/>
  <c r="F176" i="9"/>
  <c r="E176" i="9"/>
  <c r="D176" i="9"/>
  <c r="G175" i="9"/>
  <c r="F175" i="9"/>
  <c r="E175" i="9"/>
  <c r="D175" i="9"/>
  <c r="G174" i="9"/>
  <c r="F174" i="9"/>
  <c r="E174" i="9"/>
  <c r="D174" i="9"/>
  <c r="G173" i="9"/>
  <c r="F173" i="9"/>
  <c r="E173" i="9"/>
  <c r="D173" i="9"/>
  <c r="G172" i="9"/>
  <c r="F172" i="9"/>
  <c r="E172" i="9"/>
  <c r="D172" i="9"/>
  <c r="G171" i="9"/>
  <c r="F171" i="9"/>
  <c r="E171" i="9"/>
  <c r="D171" i="9"/>
  <c r="G170" i="9"/>
  <c r="F170" i="9"/>
  <c r="E170" i="9"/>
  <c r="D170" i="9"/>
  <c r="G169" i="9"/>
  <c r="F169" i="9"/>
  <c r="E169" i="9"/>
  <c r="D169" i="9"/>
  <c r="G168" i="9"/>
  <c r="F168" i="9"/>
  <c r="E168" i="9"/>
  <c r="D168" i="9"/>
  <c r="G167" i="9"/>
  <c r="F167" i="9"/>
  <c r="E167" i="9"/>
  <c r="D167" i="9"/>
  <c r="G166" i="9"/>
  <c r="F166" i="9"/>
  <c r="E166" i="9"/>
  <c r="D166" i="9"/>
  <c r="G165" i="9"/>
  <c r="F165" i="9"/>
  <c r="E165" i="9"/>
  <c r="D165" i="9"/>
  <c r="G164" i="9"/>
  <c r="F164" i="9"/>
  <c r="E164" i="9"/>
  <c r="D164" i="9"/>
  <c r="G163" i="9"/>
  <c r="F163" i="9"/>
  <c r="E163" i="9"/>
  <c r="D163" i="9"/>
  <c r="G162" i="9"/>
  <c r="F162" i="9"/>
  <c r="E162" i="9"/>
  <c r="D162" i="9"/>
  <c r="G161" i="9"/>
  <c r="F161" i="9"/>
  <c r="E161" i="9"/>
  <c r="D161" i="9"/>
  <c r="G160" i="9"/>
  <c r="F160" i="9"/>
  <c r="E160" i="9"/>
  <c r="D160" i="9"/>
  <c r="G159" i="9"/>
  <c r="F159" i="9"/>
  <c r="E159" i="9"/>
  <c r="D159" i="9"/>
  <c r="G158" i="9"/>
  <c r="F158" i="9"/>
  <c r="E158" i="9"/>
  <c r="D158" i="9"/>
  <c r="G157" i="9"/>
  <c r="F157" i="9"/>
  <c r="E157" i="9"/>
  <c r="D157" i="9"/>
  <c r="G156" i="9"/>
  <c r="F156" i="9"/>
  <c r="E156" i="9"/>
  <c r="D156" i="9"/>
  <c r="G155" i="9"/>
  <c r="F155" i="9"/>
  <c r="E155" i="9"/>
  <c r="D155" i="9"/>
  <c r="G154" i="9"/>
  <c r="F154" i="9"/>
  <c r="E154" i="9"/>
  <c r="D154" i="9"/>
  <c r="G153" i="9"/>
  <c r="F153" i="9"/>
  <c r="E153" i="9"/>
  <c r="D153" i="9"/>
  <c r="G152" i="9"/>
  <c r="F152" i="9"/>
  <c r="E152" i="9"/>
  <c r="D152" i="9"/>
  <c r="G151" i="9"/>
  <c r="F151" i="9"/>
  <c r="E151" i="9"/>
  <c r="D151" i="9"/>
  <c r="G150" i="9"/>
  <c r="F150" i="9"/>
  <c r="E150" i="9"/>
  <c r="D150" i="9"/>
  <c r="G149" i="9"/>
  <c r="F149" i="9"/>
  <c r="E149" i="9"/>
  <c r="D149" i="9"/>
  <c r="G148" i="9"/>
  <c r="F148" i="9"/>
  <c r="E148" i="9"/>
  <c r="D148" i="9"/>
  <c r="G147" i="9"/>
  <c r="F147" i="9"/>
  <c r="E147" i="9"/>
  <c r="D147" i="9"/>
  <c r="G146" i="9"/>
  <c r="F146" i="9"/>
  <c r="E146" i="9"/>
  <c r="D146" i="9"/>
  <c r="G145" i="9"/>
  <c r="F145" i="9"/>
  <c r="E145" i="9"/>
  <c r="D145" i="9"/>
  <c r="G144" i="9"/>
  <c r="F144" i="9"/>
  <c r="E144" i="9"/>
  <c r="D144" i="9"/>
  <c r="G143" i="9"/>
  <c r="F143" i="9"/>
  <c r="E143" i="9"/>
  <c r="D143" i="9"/>
  <c r="G142" i="9"/>
  <c r="F142" i="9"/>
  <c r="E142" i="9"/>
  <c r="D142" i="9"/>
  <c r="G141" i="9"/>
  <c r="F141" i="9"/>
  <c r="E141" i="9"/>
  <c r="D141" i="9"/>
  <c r="G140" i="9"/>
  <c r="F140" i="9"/>
  <c r="E140" i="9"/>
  <c r="D140" i="9"/>
  <c r="G139" i="9"/>
  <c r="F139" i="9"/>
  <c r="E139" i="9"/>
  <c r="D139" i="9"/>
  <c r="G138" i="9"/>
  <c r="F138" i="9"/>
  <c r="E138" i="9"/>
  <c r="D138" i="9"/>
  <c r="G137" i="9"/>
  <c r="F137" i="9"/>
  <c r="E137" i="9"/>
  <c r="D137" i="9"/>
  <c r="G136" i="9"/>
  <c r="F136" i="9"/>
  <c r="E136" i="9"/>
  <c r="D136" i="9"/>
  <c r="G135" i="9"/>
  <c r="F135" i="9"/>
  <c r="E135" i="9"/>
  <c r="D135" i="9"/>
  <c r="G134" i="9"/>
  <c r="F134" i="9"/>
  <c r="E134" i="9"/>
  <c r="D134" i="9"/>
  <c r="G133" i="9"/>
  <c r="F133" i="9"/>
  <c r="E133" i="9"/>
  <c r="D133" i="9"/>
  <c r="G132" i="9"/>
  <c r="F132" i="9"/>
  <c r="E132" i="9"/>
  <c r="D132" i="9"/>
  <c r="G131" i="9"/>
  <c r="F131" i="9"/>
  <c r="E131" i="9"/>
  <c r="D131" i="9"/>
  <c r="G130" i="9"/>
  <c r="F130" i="9"/>
  <c r="E130" i="9"/>
  <c r="D130" i="9"/>
  <c r="G129" i="9"/>
  <c r="F129" i="9"/>
  <c r="E129" i="9"/>
  <c r="D129" i="9"/>
  <c r="G128" i="9"/>
  <c r="F128" i="9"/>
  <c r="E128" i="9"/>
  <c r="D128" i="9"/>
  <c r="G127" i="9"/>
  <c r="F127" i="9"/>
  <c r="E127" i="9"/>
  <c r="D127" i="9"/>
  <c r="G126" i="9"/>
  <c r="F126" i="9"/>
  <c r="E126" i="9"/>
  <c r="D126" i="9"/>
  <c r="G125" i="9"/>
  <c r="F125" i="9"/>
  <c r="E125" i="9"/>
  <c r="D125" i="9"/>
  <c r="G124" i="9"/>
  <c r="F124" i="9"/>
  <c r="E124" i="9"/>
  <c r="D124" i="9"/>
  <c r="G123" i="9"/>
  <c r="F123" i="9"/>
  <c r="E123" i="9"/>
  <c r="D123" i="9"/>
  <c r="G122" i="9"/>
  <c r="F122" i="9"/>
  <c r="E122" i="9"/>
  <c r="D122" i="9"/>
  <c r="G121" i="9"/>
  <c r="F121" i="9"/>
  <c r="E121" i="9"/>
  <c r="D121" i="9"/>
  <c r="G120" i="9"/>
  <c r="F120" i="9"/>
  <c r="E120" i="9"/>
  <c r="D120" i="9"/>
  <c r="G119" i="9"/>
  <c r="F119" i="9"/>
  <c r="E119" i="9"/>
  <c r="D119" i="9"/>
  <c r="G118" i="9"/>
  <c r="F118" i="9"/>
  <c r="E118" i="9"/>
  <c r="D118" i="9"/>
  <c r="G117" i="9"/>
  <c r="F117" i="9"/>
  <c r="E117" i="9"/>
  <c r="D117" i="9"/>
  <c r="G116" i="9"/>
  <c r="F116" i="9"/>
  <c r="E116" i="9"/>
  <c r="D116" i="9"/>
  <c r="G115" i="9"/>
  <c r="F115" i="9"/>
  <c r="E115" i="9"/>
  <c r="D115" i="9"/>
  <c r="G114" i="9"/>
  <c r="F114" i="9"/>
  <c r="E114" i="9"/>
  <c r="D114" i="9"/>
  <c r="G113" i="9"/>
  <c r="F113" i="9"/>
  <c r="E113" i="9"/>
  <c r="D113" i="9"/>
  <c r="G112" i="9"/>
  <c r="F112" i="9"/>
  <c r="E112" i="9"/>
  <c r="D112" i="9"/>
  <c r="G111" i="9"/>
  <c r="F111" i="9"/>
  <c r="E111" i="9"/>
  <c r="D111" i="9"/>
  <c r="G110" i="9"/>
  <c r="F110" i="9"/>
  <c r="E110" i="9"/>
  <c r="D110" i="9"/>
  <c r="G109" i="9"/>
  <c r="F109" i="9"/>
  <c r="E109" i="9"/>
  <c r="D109" i="9"/>
  <c r="G108" i="9"/>
  <c r="F108" i="9"/>
  <c r="E108" i="9"/>
  <c r="D108" i="9"/>
  <c r="G107" i="9"/>
  <c r="F107" i="9"/>
  <c r="E107" i="9"/>
  <c r="D107" i="9"/>
  <c r="G106" i="9"/>
  <c r="F106" i="9"/>
  <c r="E106" i="9"/>
  <c r="D106" i="9"/>
  <c r="G105" i="9"/>
  <c r="F105" i="9"/>
  <c r="E105" i="9"/>
  <c r="D105" i="9"/>
  <c r="G104" i="9"/>
  <c r="F104" i="9"/>
  <c r="E104" i="9"/>
  <c r="D104" i="9"/>
  <c r="G103" i="9"/>
  <c r="F103" i="9"/>
  <c r="E103" i="9"/>
  <c r="D103" i="9"/>
  <c r="G102" i="9"/>
  <c r="F102" i="9"/>
  <c r="E102" i="9"/>
  <c r="D102" i="9"/>
  <c r="G101" i="9"/>
  <c r="F101" i="9"/>
  <c r="E101" i="9"/>
  <c r="D101" i="9"/>
  <c r="G100" i="9"/>
  <c r="F100" i="9"/>
  <c r="E100" i="9"/>
  <c r="D100" i="9"/>
  <c r="G99" i="9"/>
  <c r="F99" i="9"/>
  <c r="E99" i="9"/>
  <c r="D99" i="9"/>
  <c r="G98" i="9"/>
  <c r="F98" i="9"/>
  <c r="E98" i="9"/>
  <c r="D98" i="9"/>
  <c r="G97" i="9"/>
  <c r="F97" i="9"/>
  <c r="E97" i="9"/>
  <c r="D97" i="9"/>
  <c r="G96" i="9"/>
  <c r="F96" i="9"/>
  <c r="E96" i="9"/>
  <c r="D96" i="9"/>
  <c r="G95" i="9"/>
  <c r="F95" i="9"/>
  <c r="E95" i="9"/>
  <c r="D95" i="9"/>
  <c r="G94" i="9"/>
  <c r="F94" i="9"/>
  <c r="E94" i="9"/>
  <c r="D94" i="9"/>
  <c r="G93" i="9"/>
  <c r="F93" i="9"/>
  <c r="E93" i="9"/>
  <c r="D93" i="9"/>
  <c r="G92" i="9"/>
  <c r="F92" i="9"/>
  <c r="E92" i="9"/>
  <c r="D92" i="9"/>
  <c r="G91" i="9"/>
  <c r="F91" i="9"/>
  <c r="E91" i="9"/>
  <c r="D91" i="9"/>
  <c r="G90" i="9"/>
  <c r="F90" i="9"/>
  <c r="E90" i="9"/>
  <c r="D90" i="9"/>
  <c r="G89" i="9"/>
  <c r="F89" i="9"/>
  <c r="E89" i="9"/>
  <c r="D89" i="9"/>
  <c r="G88" i="9"/>
  <c r="F88" i="9"/>
  <c r="E88" i="9"/>
  <c r="D88" i="9"/>
  <c r="G87" i="9"/>
  <c r="F87" i="9"/>
  <c r="E87" i="9"/>
  <c r="D87" i="9"/>
  <c r="G86" i="9"/>
  <c r="F86" i="9"/>
  <c r="E86" i="9"/>
  <c r="D86" i="9"/>
  <c r="G85" i="9"/>
  <c r="F85" i="9"/>
  <c r="E85" i="9"/>
  <c r="D85" i="9"/>
  <c r="G84" i="9"/>
  <c r="F84" i="9"/>
  <c r="E84" i="9"/>
  <c r="D84" i="9"/>
  <c r="G83" i="9"/>
  <c r="F83" i="9"/>
  <c r="E83" i="9"/>
  <c r="D83" i="9"/>
  <c r="G82" i="9"/>
  <c r="F82" i="9"/>
  <c r="E82" i="9"/>
  <c r="D82" i="9"/>
  <c r="G81" i="9"/>
  <c r="F81" i="9"/>
  <c r="E81" i="9"/>
  <c r="D81" i="9"/>
  <c r="G80" i="9"/>
  <c r="F80" i="9"/>
  <c r="E80" i="9"/>
  <c r="D80" i="9"/>
  <c r="G79" i="9"/>
  <c r="F79" i="9"/>
  <c r="E79" i="9"/>
  <c r="D79" i="9"/>
  <c r="G78" i="9"/>
  <c r="F78" i="9"/>
  <c r="E78" i="9"/>
  <c r="D78" i="9"/>
  <c r="G77" i="9"/>
  <c r="F77" i="9"/>
  <c r="E77" i="9"/>
  <c r="D77" i="9"/>
  <c r="G76" i="9"/>
  <c r="F76" i="9"/>
  <c r="E76" i="9"/>
  <c r="D76" i="9"/>
  <c r="G75" i="9"/>
  <c r="F75" i="9"/>
  <c r="E75" i="9"/>
  <c r="D75" i="9"/>
  <c r="G74" i="9"/>
  <c r="F74" i="9"/>
  <c r="E74" i="9"/>
  <c r="D74" i="9"/>
  <c r="G73" i="9"/>
  <c r="F73" i="9"/>
  <c r="E73" i="9"/>
  <c r="D73" i="9"/>
  <c r="G72" i="9"/>
  <c r="F72" i="9"/>
  <c r="E72" i="9"/>
  <c r="D72" i="9"/>
  <c r="G71" i="9"/>
  <c r="F71" i="9"/>
  <c r="E71" i="9"/>
  <c r="D71" i="9"/>
  <c r="G70" i="9"/>
  <c r="F70" i="9"/>
  <c r="E70" i="9"/>
  <c r="D70" i="9"/>
  <c r="G69" i="9"/>
  <c r="F69" i="9"/>
  <c r="E69" i="9"/>
  <c r="D69" i="9"/>
  <c r="G68" i="9"/>
  <c r="F68" i="9"/>
  <c r="E68" i="9"/>
  <c r="D68" i="9"/>
  <c r="G67" i="9"/>
  <c r="F67" i="9"/>
  <c r="E67" i="9"/>
  <c r="D67" i="9"/>
  <c r="G66" i="9"/>
  <c r="F66" i="9"/>
  <c r="E66" i="9"/>
  <c r="D66" i="9"/>
  <c r="G65" i="9"/>
  <c r="F65" i="9"/>
  <c r="E65" i="9"/>
  <c r="D65" i="9"/>
  <c r="G64" i="9"/>
  <c r="F64" i="9"/>
  <c r="E64" i="9"/>
  <c r="D64" i="9"/>
  <c r="G63" i="9"/>
  <c r="F63" i="9"/>
  <c r="E63" i="9"/>
  <c r="D63" i="9"/>
  <c r="G62" i="9"/>
  <c r="F62" i="9"/>
  <c r="E62" i="9"/>
  <c r="D62" i="9"/>
  <c r="G61" i="9"/>
  <c r="F61" i="9"/>
  <c r="E61" i="9"/>
  <c r="D61" i="9"/>
  <c r="G60" i="9"/>
  <c r="F60" i="9"/>
  <c r="E60" i="9"/>
  <c r="D60" i="9"/>
  <c r="G59" i="9"/>
  <c r="F59" i="9"/>
  <c r="E59" i="9"/>
  <c r="D59" i="9"/>
  <c r="G58" i="9"/>
  <c r="F58" i="9"/>
  <c r="E58" i="9"/>
  <c r="D58" i="9"/>
  <c r="G57" i="9"/>
  <c r="F57" i="9"/>
  <c r="E57" i="9"/>
  <c r="D57" i="9"/>
  <c r="G56" i="9"/>
  <c r="F56" i="9"/>
  <c r="E56" i="9"/>
  <c r="D56" i="9"/>
  <c r="G55" i="9"/>
  <c r="F55" i="9"/>
  <c r="E55" i="9"/>
  <c r="D55" i="9"/>
  <c r="G54" i="9"/>
  <c r="F54" i="9"/>
  <c r="E54" i="9"/>
  <c r="D54" i="9"/>
  <c r="G53" i="9"/>
  <c r="F53" i="9"/>
  <c r="E53" i="9"/>
  <c r="D53" i="9"/>
  <c r="G52" i="9"/>
  <c r="F52" i="9"/>
  <c r="E52" i="9"/>
  <c r="D52" i="9"/>
  <c r="G51" i="9"/>
  <c r="F51" i="9"/>
  <c r="E51" i="9"/>
  <c r="D51" i="9"/>
  <c r="G50" i="9"/>
  <c r="F50" i="9"/>
  <c r="E50" i="9"/>
  <c r="D50" i="9"/>
  <c r="G49" i="9"/>
  <c r="F49" i="9"/>
  <c r="E49" i="9"/>
  <c r="D49" i="9"/>
  <c r="G48" i="9"/>
  <c r="F48" i="9"/>
  <c r="E48" i="9"/>
  <c r="D48" i="9"/>
  <c r="G47" i="9"/>
  <c r="F47" i="9"/>
  <c r="E47" i="9"/>
  <c r="D47" i="9"/>
  <c r="G46" i="9"/>
  <c r="F46" i="9"/>
  <c r="E46" i="9"/>
  <c r="D46" i="9"/>
  <c r="G45" i="9"/>
  <c r="F45" i="9"/>
  <c r="E45" i="9"/>
  <c r="D45" i="9"/>
  <c r="G44" i="9"/>
  <c r="F44" i="9"/>
  <c r="E44" i="9"/>
  <c r="D44" i="9"/>
  <c r="G43" i="9"/>
  <c r="F43" i="9"/>
  <c r="E43" i="9"/>
  <c r="D43" i="9"/>
  <c r="G42" i="9"/>
  <c r="F42" i="9"/>
  <c r="E42" i="9"/>
  <c r="D42" i="9"/>
  <c r="G41" i="9"/>
  <c r="F41" i="9"/>
  <c r="E41" i="9"/>
  <c r="D41" i="9"/>
  <c r="G40" i="9"/>
  <c r="F40" i="9"/>
  <c r="E40" i="9"/>
  <c r="D40" i="9"/>
  <c r="G39" i="9"/>
  <c r="F39" i="9"/>
  <c r="E39" i="9"/>
  <c r="D39" i="9"/>
  <c r="G38" i="9"/>
  <c r="F38" i="9"/>
  <c r="E38" i="9"/>
  <c r="D38" i="9"/>
  <c r="G37" i="9"/>
  <c r="F37" i="9"/>
  <c r="E37" i="9"/>
  <c r="D37" i="9"/>
  <c r="G36" i="9"/>
  <c r="F36" i="9"/>
  <c r="E36" i="9"/>
  <c r="D36" i="9"/>
  <c r="G35" i="9"/>
  <c r="F35" i="9"/>
  <c r="E35" i="9"/>
  <c r="D35" i="9"/>
  <c r="G34" i="9"/>
  <c r="F34" i="9"/>
  <c r="E34" i="9"/>
  <c r="D34" i="9"/>
  <c r="G33" i="9"/>
  <c r="F33" i="9"/>
  <c r="E33" i="9"/>
  <c r="D33" i="9"/>
  <c r="G32" i="9"/>
  <c r="F32" i="9"/>
  <c r="E32" i="9"/>
  <c r="D32" i="9"/>
  <c r="G31" i="9"/>
  <c r="F31" i="9"/>
  <c r="E31" i="9"/>
  <c r="D31" i="9"/>
  <c r="G30" i="9"/>
  <c r="F30" i="9"/>
  <c r="E30" i="9"/>
  <c r="D30" i="9"/>
  <c r="G29" i="9"/>
  <c r="F29" i="9"/>
  <c r="E29" i="9"/>
  <c r="D29" i="9"/>
  <c r="G28" i="9"/>
  <c r="F28" i="9"/>
  <c r="E28" i="9"/>
  <c r="D28" i="9"/>
  <c r="G27" i="9"/>
  <c r="F27" i="9"/>
  <c r="E27" i="9"/>
  <c r="D27" i="9"/>
  <c r="G26" i="9"/>
  <c r="F26" i="9"/>
  <c r="E26" i="9"/>
  <c r="D26" i="9"/>
  <c r="G25" i="9"/>
  <c r="F25" i="9"/>
  <c r="E25" i="9"/>
  <c r="D25" i="9"/>
  <c r="G24" i="9"/>
  <c r="F24" i="9"/>
  <c r="E24" i="9"/>
  <c r="D24" i="9"/>
  <c r="G23" i="9"/>
  <c r="F23" i="9"/>
  <c r="E23" i="9"/>
  <c r="D23" i="9"/>
  <c r="G22" i="9"/>
  <c r="F22" i="9"/>
  <c r="E22" i="9"/>
  <c r="D22" i="9"/>
  <c r="G21" i="9"/>
  <c r="F21" i="9"/>
  <c r="E21" i="9"/>
  <c r="D21" i="9"/>
  <c r="G20" i="9"/>
  <c r="F20" i="9"/>
  <c r="E20" i="9"/>
  <c r="D20" i="9"/>
  <c r="G19" i="9"/>
  <c r="F19" i="9"/>
  <c r="E19" i="9"/>
  <c r="D19" i="9"/>
  <c r="G18" i="9"/>
  <c r="F18" i="9"/>
  <c r="E18" i="9"/>
  <c r="D18" i="9"/>
  <c r="G17" i="9"/>
  <c r="F17" i="9"/>
  <c r="E17" i="9"/>
  <c r="D17" i="9"/>
  <c r="G16" i="9"/>
  <c r="F16" i="9"/>
  <c r="E16" i="9"/>
  <c r="D16" i="9"/>
  <c r="G15" i="9"/>
  <c r="F15" i="9"/>
  <c r="E15" i="9"/>
  <c r="D15" i="9"/>
  <c r="G14" i="9"/>
  <c r="F14" i="9"/>
  <c r="E14" i="9"/>
  <c r="D14" i="9"/>
  <c r="G13" i="9"/>
  <c r="F13" i="9"/>
  <c r="E13" i="9"/>
  <c r="D13" i="9"/>
  <c r="G12" i="9"/>
  <c r="F12" i="9"/>
  <c r="E12" i="9"/>
  <c r="D12" i="9"/>
  <c r="G11" i="9"/>
  <c r="F11" i="9"/>
  <c r="E11" i="9"/>
  <c r="D11" i="9"/>
  <c r="G10" i="9"/>
  <c r="F10" i="9"/>
  <c r="E10" i="9"/>
  <c r="D10" i="9"/>
  <c r="G9" i="9"/>
  <c r="F9" i="9"/>
  <c r="E9" i="9"/>
  <c r="D9" i="9"/>
  <c r="G8" i="9"/>
  <c r="F8" i="9"/>
  <c r="E8" i="9"/>
  <c r="D8" i="9"/>
  <c r="G7" i="9"/>
  <c r="F7" i="9"/>
  <c r="E7" i="9"/>
  <c r="D7" i="9"/>
  <c r="G6" i="9"/>
  <c r="F6" i="9"/>
  <c r="E6" i="9"/>
  <c r="D6" i="9"/>
  <c r="B6" i="9"/>
  <c r="G5" i="9"/>
  <c r="F5" i="9"/>
  <c r="D5" i="9"/>
  <c r="E5" i="9" s="1"/>
  <c r="B5" i="9"/>
  <c r="G4" i="9"/>
  <c r="D4" i="9"/>
  <c r="F4" i="9" s="1"/>
  <c r="B4" i="9"/>
  <c r="B3" i="9"/>
  <c r="D24" i="5"/>
  <c r="C24" i="5"/>
  <c r="D23" i="5"/>
  <c r="C23" i="5"/>
  <c r="D22" i="5"/>
  <c r="C22" i="5"/>
  <c r="D21" i="5"/>
  <c r="C21" i="5"/>
  <c r="D20" i="5"/>
  <c r="C20" i="5"/>
  <c r="D19" i="5"/>
  <c r="C19" i="5"/>
  <c r="D18" i="5"/>
  <c r="C18" i="5"/>
  <c r="D17" i="5"/>
  <c r="C17" i="5"/>
  <c r="D16" i="5"/>
  <c r="C16" i="5"/>
  <c r="D15" i="5"/>
  <c r="C15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D26" i="5" s="1"/>
  <c r="C6" i="5"/>
  <c r="D5" i="5"/>
  <c r="C5" i="5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E3" i="4"/>
  <c r="F3" i="4" s="1"/>
  <c r="E2" i="4"/>
  <c r="F2" i="4" s="1"/>
  <c r="M400" i="3"/>
  <c r="M399" i="3"/>
  <c r="M398" i="3"/>
  <c r="M397" i="3"/>
  <c r="M396" i="3"/>
  <c r="M395" i="3"/>
  <c r="M394" i="3"/>
  <c r="M393" i="3"/>
  <c r="M392" i="3"/>
  <c r="M391" i="3"/>
  <c r="M390" i="3"/>
  <c r="M389" i="3"/>
  <c r="M388" i="3"/>
  <c r="M387" i="3"/>
  <c r="M386" i="3"/>
  <c r="M385" i="3"/>
  <c r="M384" i="3"/>
  <c r="M383" i="3"/>
  <c r="M382" i="3"/>
  <c r="M381" i="3"/>
  <c r="M380" i="3"/>
  <c r="M379" i="3"/>
  <c r="M378" i="3"/>
  <c r="M377" i="3"/>
  <c r="M376" i="3"/>
  <c r="M375" i="3"/>
  <c r="M374" i="3"/>
  <c r="M373" i="3"/>
  <c r="M372" i="3"/>
  <c r="M371" i="3"/>
  <c r="M370" i="3"/>
  <c r="M369" i="3"/>
  <c r="M368" i="3"/>
  <c r="M367" i="3"/>
  <c r="M366" i="3"/>
  <c r="M365" i="3"/>
  <c r="M364" i="3"/>
  <c r="M363" i="3"/>
  <c r="M362" i="3"/>
  <c r="M361" i="3"/>
  <c r="M360" i="3"/>
  <c r="M359" i="3"/>
  <c r="M358" i="3"/>
  <c r="M357" i="3"/>
  <c r="M356" i="3"/>
  <c r="M355" i="3"/>
  <c r="M354" i="3"/>
  <c r="M353" i="3"/>
  <c r="M352" i="3"/>
  <c r="M351" i="3"/>
  <c r="M350" i="3"/>
  <c r="M349" i="3"/>
  <c r="M348" i="3"/>
  <c r="M347" i="3"/>
  <c r="M346" i="3"/>
  <c r="M345" i="3"/>
  <c r="M344" i="3"/>
  <c r="M343" i="3"/>
  <c r="M342" i="3"/>
  <c r="M341" i="3"/>
  <c r="M340" i="3"/>
  <c r="M339" i="3"/>
  <c r="M338" i="3"/>
  <c r="M337" i="3"/>
  <c r="M336" i="3"/>
  <c r="M335" i="3"/>
  <c r="M334" i="3"/>
  <c r="M333" i="3"/>
  <c r="M332" i="3"/>
  <c r="M331" i="3"/>
  <c r="M330" i="3"/>
  <c r="M329" i="3"/>
  <c r="M328" i="3"/>
  <c r="M327" i="3"/>
  <c r="M326" i="3"/>
  <c r="M325" i="3"/>
  <c r="M324" i="3"/>
  <c r="M323" i="3"/>
  <c r="M322" i="3"/>
  <c r="M321" i="3"/>
  <c r="M320" i="3"/>
  <c r="M319" i="3"/>
  <c r="M318" i="3"/>
  <c r="M317" i="3"/>
  <c r="M316" i="3"/>
  <c r="M315" i="3"/>
  <c r="M314" i="3"/>
  <c r="M313" i="3"/>
  <c r="M312" i="3"/>
  <c r="M311" i="3"/>
  <c r="M310" i="3"/>
  <c r="M309" i="3"/>
  <c r="M308" i="3"/>
  <c r="M307" i="3"/>
  <c r="M306" i="3"/>
  <c r="M305" i="3"/>
  <c r="M304" i="3"/>
  <c r="M303" i="3"/>
  <c r="M302" i="3"/>
  <c r="M301" i="3"/>
  <c r="M300" i="3"/>
  <c r="M299" i="3"/>
  <c r="M298" i="3"/>
  <c r="M297" i="3"/>
  <c r="M296" i="3"/>
  <c r="M295" i="3"/>
  <c r="M294" i="3"/>
  <c r="M293" i="3"/>
  <c r="M292" i="3"/>
  <c r="M291" i="3"/>
  <c r="M290" i="3"/>
  <c r="M289" i="3"/>
  <c r="M288" i="3"/>
  <c r="M287" i="3"/>
  <c r="M286" i="3"/>
  <c r="M285" i="3"/>
  <c r="M284" i="3"/>
  <c r="M283" i="3"/>
  <c r="M282" i="3"/>
  <c r="M281" i="3"/>
  <c r="M280" i="3"/>
  <c r="M279" i="3"/>
  <c r="M278" i="3"/>
  <c r="M277" i="3"/>
  <c r="M276" i="3"/>
  <c r="M275" i="3"/>
  <c r="M274" i="3"/>
  <c r="M273" i="3"/>
  <c r="M272" i="3"/>
  <c r="M271" i="3"/>
  <c r="M270" i="3"/>
  <c r="M269" i="3"/>
  <c r="M268" i="3"/>
  <c r="M267" i="3"/>
  <c r="M266" i="3"/>
  <c r="M265" i="3"/>
  <c r="M264" i="3"/>
  <c r="M263" i="3"/>
  <c r="M262" i="3"/>
  <c r="M261" i="3"/>
  <c r="M260" i="3"/>
  <c r="M259" i="3"/>
  <c r="M258" i="3"/>
  <c r="M257" i="3"/>
  <c r="M256" i="3"/>
  <c r="M255" i="3"/>
  <c r="M254" i="3"/>
  <c r="M253" i="3"/>
  <c r="M252" i="3"/>
  <c r="M251" i="3"/>
  <c r="M250" i="3"/>
  <c r="M249" i="3"/>
  <c r="M248" i="3"/>
  <c r="M247" i="3"/>
  <c r="M246" i="3"/>
  <c r="M245" i="3"/>
  <c r="M244" i="3"/>
  <c r="M243" i="3"/>
  <c r="M242" i="3"/>
  <c r="M241" i="3"/>
  <c r="M240" i="3"/>
  <c r="M239" i="3"/>
  <c r="M238" i="3"/>
  <c r="M237" i="3"/>
  <c r="M236" i="3"/>
  <c r="M235" i="3"/>
  <c r="M234" i="3"/>
  <c r="M233" i="3"/>
  <c r="M232" i="3"/>
  <c r="M231" i="3"/>
  <c r="M230" i="3"/>
  <c r="M229" i="3"/>
  <c r="M228" i="3"/>
  <c r="M227" i="3"/>
  <c r="M226" i="3"/>
  <c r="M225" i="3"/>
  <c r="M224" i="3"/>
  <c r="M223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7" i="3"/>
  <c r="M176" i="3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E399" i="9" l="1"/>
  <c r="F399" i="9"/>
  <c r="E4" i="9"/>
  <c r="E400" i="9"/>
  <c r="F400" i="9"/>
  <c r="E401" i="9"/>
  <c r="F401" i="9"/>
  <c r="E402" i="9"/>
  <c r="F402" i="9"/>
</calcChain>
</file>

<file path=xl/sharedStrings.xml><?xml version="1.0" encoding="utf-8"?>
<sst xmlns="http://schemas.openxmlformats.org/spreadsheetml/2006/main" count="150" uniqueCount="89">
  <si>
    <t>KiG POS - Kasse in Excel</t>
  </si>
  <si>
    <t>KiG e.V. - est. 1996</t>
  </si>
  <si>
    <t>Wozu diese Mappe?</t>
  </si>
  <si>
    <t>Sie bildet die Kernfunktionen von KiG POS in Excel nach - als Notlösung, wenn der Rechner mit der App nicht verfügbar ist, oder um Stammdaten am PC vorzubereiten.</t>
  </si>
  <si>
    <t>Einmalige Einrichtung der Makros</t>
  </si>
  <si>
    <t>1.  Diese Mappe in Excel öffnen und Makros zulassen.</t>
  </si>
  <si>
    <t>2.  Alt+F11 drücken, dann Menü 'Datei' -&gt; 'Datei importieren...'</t>
  </si>
  <si>
    <t>3.  Die Datei KiG_POS_Makros.bas aus demselben Ordner auswählen.</t>
  </si>
  <si>
    <t>4.  Alt+F11 schließen und die Mappe als .xlsm speichern.</t>
  </si>
  <si>
    <t>Die Knöpfe auf den Blättern sind bereits mit den Makros verknüpft und funktionieren direkt nach dem Import.</t>
  </si>
  <si>
    <t>So arbeitest du damit</t>
  </si>
  <si>
    <t>Artikel     -  Artikelstamm: Preise, Einheit, Bestand, Bestellmenge. Grundlage für alles Weitere.</t>
  </si>
  <si>
    <t>Rezepte     -  Zutaten der Mix-Artikel. Eine Zeile je Zutat.</t>
  </si>
  <si>
    <t>Kasse       -  Artikel und Menge eintragen, dann 'Verkauf buchen'. Der Bestand wird abgezogen, der Verkauf protokolliert.</t>
  </si>
  <si>
    <t>Verkäufe    -  Protokoll aller Verkäufe. Grundlage der Statistik.</t>
  </si>
  <si>
    <t>Statistik   -  Umsatz, Gewinn und Verkaufszahlen je Artikel.</t>
  </si>
  <si>
    <t>Wichtige Regeln (genau wie in KiG POS)</t>
  </si>
  <si>
    <t>-  Mix-/Rezeptartikel haben keinen eigenen Bestand. Beim Verkauf werden ihre Zutaten abgezogen.</t>
  </si>
  <si>
    <t>-  Flaschen werden immer in Millilitern geführt. Beim Wareneingang fragt die Mappe nach der Flaschengröße und rechnet um.</t>
  </si>
  <si>
    <t>-  Der Einkaufspreis einer Flasche gilt für die ganze Flasche - die Kosten je Portion werden daraus hochgerechnet.</t>
  </si>
  <si>
    <t>-  Zutaten ohne eigenen Artikel (Minze, Limette ...) einfach ins Blatt Rezepte schreiben: sie erscheinen im Rezept, werden aber nicht vom Bestand abgezogen.</t>
  </si>
  <si>
    <t>-  Nach dem Bearbeiten von Rezepten oder Beständen auf 'Neu berechnen' tippen, damit Verfügbarkeit und Rezeptkosten wieder stimmen.</t>
  </si>
  <si>
    <t>Kategorie</t>
  </si>
  <si>
    <t>Bemerkung</t>
  </si>
  <si>
    <t>Alkoholfrei</t>
  </si>
  <si>
    <t>Alkohol</t>
  </si>
  <si>
    <t>Cocktail</t>
  </si>
  <si>
    <t>Essen</t>
  </si>
  <si>
    <t>Sonstiges</t>
  </si>
  <si>
    <t>Zutat</t>
  </si>
  <si>
    <t>Reine Zutaten - stehen nicht an der Kasse</t>
  </si>
  <si>
    <t>Nr</t>
  </si>
  <si>
    <t>Artikel</t>
  </si>
  <si>
    <t>Einheit</t>
  </si>
  <si>
    <t>Verkaufs-
preis</t>
  </si>
  <si>
    <t>Einkaufs-
preis</t>
  </si>
  <si>
    <t>Typ</t>
  </si>
  <si>
    <t>An Kasse</t>
  </si>
  <si>
    <t>Aktiv</t>
  </si>
  <si>
    <t>Flaschen-
größe (ml)</t>
  </si>
  <si>
    <t>Bestand</t>
  </si>
  <si>
    <t>Bestell-
menge</t>
  </si>
  <si>
    <t>EK je
Einheit</t>
  </si>
  <si>
    <t>Verfügbar</t>
  </si>
  <si>
    <t>Rezept-
kosten</t>
  </si>
  <si>
    <t>Cola</t>
  </si>
  <si>
    <t>Stück</t>
  </si>
  <si>
    <t>Einzelartikel</t>
  </si>
  <si>
    <t>Ja</t>
  </si>
  <si>
    <t>Spezi</t>
  </si>
  <si>
    <t>Fanta</t>
  </si>
  <si>
    <t>Gold Ochsen</t>
  </si>
  <si>
    <t>Flasche Jack Daniels</t>
  </si>
  <si>
    <t>Flasche</t>
  </si>
  <si>
    <t>Nein</t>
  </si>
  <si>
    <t>Jack Daniels</t>
  </si>
  <si>
    <t>Mix / Rezept</t>
  </si>
  <si>
    <t>Jacky Cola</t>
  </si>
  <si>
    <t>Rezept (Mix-Artikel)</t>
  </si>
  <si>
    <t>Menge</t>
  </si>
  <si>
    <t>Menge in
Basiseinheit</t>
  </si>
  <si>
    <t>Reicht für</t>
  </si>
  <si>
    <t>ml</t>
  </si>
  <si>
    <t>Zutaten ohne eigenen Artikel (z. B. Minze, Limettenscheibe) einfach als Text eintragen - sie werden nicht vom Bestand abgezogen.</t>
  </si>
  <si>
    <t>Limettenscheibe</t>
  </si>
  <si>
    <t>Kasse</t>
  </si>
  <si>
    <t>Veranstaltung</t>
  </si>
  <si>
    <t>Einzelpreis</t>
  </si>
  <si>
    <t>Summe</t>
  </si>
  <si>
    <t>Artikel auswählen, Menge eintragen - dann 'Verkauf buchen'.</t>
  </si>
  <si>
    <t>Datum</t>
  </si>
  <si>
    <t>Zeit</t>
  </si>
  <si>
    <t>Beleg</t>
  </si>
  <si>
    <t>Verkaufspreis</t>
  </si>
  <si>
    <t>Einkaufspreis</t>
  </si>
  <si>
    <t>Umsatz</t>
  </si>
  <si>
    <t>Gewinn</t>
  </si>
  <si>
    <t>Wird beim Buchen automatisch gefüllt - hier nichts von Hand eintragen.</t>
  </si>
  <si>
    <t>Zeitpunkt</t>
  </si>
  <si>
    <t>Bestand alt</t>
  </si>
  <si>
    <t>Bestand neu</t>
  </si>
  <si>
    <t>Grund</t>
  </si>
  <si>
    <t>Bearbeitet von</t>
  </si>
  <si>
    <t>Wird aus den Bestellmengen im Blatt Artikel erzeugt (Knopf 'Einkaufsliste erzeugen').</t>
  </si>
  <si>
    <t>Statistik</t>
  </si>
  <si>
    <t>Umsatz gesamt</t>
  </si>
  <si>
    <t>Gewinn gesamt</t>
  </si>
  <si>
    <t>Verkaufte Artikel</t>
  </si>
  <si>
    <t>Anzahl Positionen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</si>
</sst>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#,##0.0000\ &quot;€&quot;"/>
  </numFmts>
  <fonts count="12" x14ac:knownFonts="1">
    <font>
      <sz val="11"/>
      <color theme="1"/>
      <name val="Calibri"/>
      <family val="2"/>
      <scheme val="minor"/>
    </font>
    <font>
      <b/>
      <sz val="22"/>
      <color rgb="FFF4511E"/>
      <name val="Calibri"/>
    </font>
    <font>
      <sz val="11"/>
      <color rgb="FF5F6368"/>
      <name val="Calibri"/>
    </font>
    <font>
      <b/>
      <sz val="13"/>
      <color rgb="FF202124"/>
      <name val="Calibri"/>
    </font>
    <font>
      <sz val="11"/>
      <color rgb="FF202124"/>
      <name val="Calibri"/>
    </font>
    <font>
      <i/>
      <sz val="10"/>
      <color rgb="FF5F6368"/>
      <name val="Calibri"/>
    </font>
    <font>
      <b/>
      <sz val="11"/>
      <color rgb="FFFFFFFF"/>
      <name val="Calibri"/>
    </font>
    <font>
      <sz val="10"/>
      <color rgb="FF5F6368"/>
      <name val="Calibri"/>
    </font>
    <font>
      <b/>
      <sz val="16"/>
      <color rgb="FFF4511E"/>
      <name val="Calibri"/>
    </font>
    <font>
      <b/>
      <sz val="13"/>
      <name val="Calibri"/>
    </font>
    <font>
      <b/>
      <sz val="13"/>
      <color rgb="FFF4511E"/>
      <name val="Calibri"/>
    </font>
    <font>
      <b/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4511E"/>
      </patternFill>
    </fill>
    <fill>
      <patternFill patternType="solid">
        <fgColor rgb="FFF5F5F5"/>
      </patternFill>
    </fill>
  </fills>
  <borders count="2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6" fillId="2" borderId="0" xfId="0" applyFont="1" applyFill="1" applyAlignment="1">
      <alignment horizontal="left" vertical="center" wrapText="1"/>
    </xf>
    <xf numFmtId="0" fontId="0" fillId="0" borderId="1" xfId="0" applyBorder="1"/>
    <xf numFmtId="0" fontId="7" fillId="0" borderId="0" xfId="0" applyFont="1"/>
    <xf numFmtId="16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0" fontId="5" fillId="0" borderId="0" xfId="0" applyFont="1"/>
    <xf numFmtId="0" fontId="8" fillId="0" borderId="0" xfId="0" applyFont="1"/>
    <xf numFmtId="0" fontId="0" fillId="3" borderId="1" xfId="0" applyFill="1" applyBorder="1"/>
    <xf numFmtId="0" fontId="6" fillId="2" borderId="0" xfId="0" applyFont="1" applyFill="1" applyAlignment="1">
      <alignment horizontal="left" vertical="center"/>
    </xf>
    <xf numFmtId="164" fontId="0" fillId="0" borderId="1" xfId="0" applyNumberFormat="1" applyBorder="1"/>
    <xf numFmtId="0" fontId="9" fillId="0" borderId="0" xfId="0" applyFont="1"/>
    <xf numFmtId="164" fontId="10" fillId="0" borderId="0" xfId="0" applyNumberFormat="1" applyFont="1"/>
    <xf numFmtId="164" fontId="3" fillId="0" borderId="0" xfId="0" applyNumberFormat="1" applyFont="1"/>
    <xf numFmtId="0" fontId="6" fillId="2" borderId="0" xfId="0" applyFont="1" applyFill="1"/>
    <xf numFmtId="164" fontId="0" fillId="0" borderId="0" xfId="0" applyNumberFormat="1"/>
    <xf numFmtId="3" fontId="3" fillId="0" borderId="0" xfId="0" applyNumberFormat="1" applyFont="1"/>
  </cellXfs>
  <cellStyles count="1">
    <cellStyle name="Standard" xfId="0" builtinId="0"/>
  </cellStyles>
  <dxfs count="1">
    <dxf>
      <fill>
        <patternFill patternType="solid">
          <fgColor rgb="FFFFEBE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de-DE"/>
              <a:t>Umsatz je Artikel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Statistik!$F$3</c:f>
              <c:strCache>
                <c:ptCount val="1"/>
                <c:pt idx="0">
                  <c:v>Umsatz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Statistik!$D$4:$D$10</c:f>
              <c:strCache>
                <c:ptCount val="7"/>
                <c:pt idx="0">
                  <c:v>Cola</c:v>
                </c:pt>
                <c:pt idx="1">
                  <c:v>Spezi</c:v>
                </c:pt>
                <c:pt idx="2">
                  <c:v>Fanta</c:v>
                </c:pt>
                <c:pt idx="3">
                  <c:v>Gold Ochsen</c:v>
                </c:pt>
                <c:pt idx="4">
                  <c:v>Flasche Jack Daniels</c:v>
                </c:pt>
                <c:pt idx="5">
                  <c:v>Jack Daniels</c:v>
                </c:pt>
                <c:pt idx="6">
                  <c:v>Jacky Cola</c:v>
                </c:pt>
              </c:strCache>
            </c:strRef>
          </c:cat>
          <c:val>
            <c:numRef>
              <c:f>Statistik!$F$4:$F$10</c:f>
              <c:numCache>
                <c:formatCode>#,##0.00\ "€"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31-4D24-AC05-BCE6F7110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#,##0.00\ &quot;€&quot;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327660</xdr:colOff>
          <xdr:row>3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Wareneingang buchen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19</xdr:col>
          <xdr:colOff>327660</xdr:colOff>
          <xdr:row>5</xdr:row>
          <xdr:rowOff>15240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Bestand korrigieren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19</xdr:col>
          <xdr:colOff>327660</xdr:colOff>
          <xdr:row>7</xdr:row>
          <xdr:rowOff>15240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Neu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327660</xdr:colOff>
          <xdr:row>9</xdr:row>
          <xdr:rowOff>15240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Einkaufsliste erzeugen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8</xdr:col>
          <xdr:colOff>76200</xdr:colOff>
          <xdr:row>6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Verkauf buchen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8</xdr:col>
          <xdr:colOff>76200</xdr:colOff>
          <xdr:row>9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Warenkorb leeren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8</xdr:col>
          <xdr:colOff>327660</xdr:colOff>
          <xdr:row>6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Einkaufsliste erzeugen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11</xdr:row>
      <xdr:rowOff>91440</xdr:rowOff>
    </xdr:from>
    <xdr:ext cx="61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B28"/>
  <sheetViews>
    <sheetView showGridLines="0" topLeftCell="A17" workbookViewId="0"/>
  </sheetViews>
  <sheetFormatPr baseColWidth="10" defaultColWidth="8.88671875" defaultRowHeight="14.4" x14ac:dyDescent="0.3"/>
  <cols>
    <col min="1" max="1" width="3" customWidth="1"/>
    <col min="2" max="2" width="104" customWidth="1"/>
  </cols>
  <sheetData>
    <row r="2" spans="2:2" ht="28.8" x14ac:dyDescent="0.55000000000000004">
      <c r="B2" s="1" t="s">
        <v>0</v>
      </c>
    </row>
    <row r="3" spans="2:2" x14ac:dyDescent="0.3">
      <c r="B3" s="2" t="s">
        <v>1</v>
      </c>
    </row>
    <row r="6" spans="2:2" ht="16.95" customHeight="1" x14ac:dyDescent="0.3">
      <c r="B6" s="3" t="s">
        <v>2</v>
      </c>
    </row>
    <row r="7" spans="2:2" ht="30" customHeight="1" x14ac:dyDescent="0.3">
      <c r="B7" s="4" t="s">
        <v>3</v>
      </c>
    </row>
    <row r="9" spans="2:2" ht="16.95" customHeight="1" x14ac:dyDescent="0.3">
      <c r="B9" s="3" t="s">
        <v>4</v>
      </c>
    </row>
    <row r="10" spans="2:2" ht="16.95" customHeight="1" x14ac:dyDescent="0.3">
      <c r="B10" s="4" t="s">
        <v>5</v>
      </c>
    </row>
    <row r="11" spans="2:2" ht="16.95" customHeight="1" x14ac:dyDescent="0.3">
      <c r="B11" s="4" t="s">
        <v>6</v>
      </c>
    </row>
    <row r="12" spans="2:2" ht="16.95" customHeight="1" x14ac:dyDescent="0.3">
      <c r="B12" s="4" t="s">
        <v>7</v>
      </c>
    </row>
    <row r="13" spans="2:2" ht="16.95" customHeight="1" x14ac:dyDescent="0.3">
      <c r="B13" s="4" t="s">
        <v>8</v>
      </c>
    </row>
    <row r="14" spans="2:2" ht="30" customHeight="1" x14ac:dyDescent="0.3">
      <c r="B14" s="5" t="s">
        <v>9</v>
      </c>
    </row>
    <row r="16" spans="2:2" ht="16.95" customHeight="1" x14ac:dyDescent="0.3">
      <c r="B16" s="3" t="s">
        <v>10</v>
      </c>
    </row>
    <row r="17" spans="2:2" ht="30" customHeight="1" x14ac:dyDescent="0.3">
      <c r="B17" s="4" t="s">
        <v>11</v>
      </c>
    </row>
    <row r="18" spans="2:2" ht="16.95" customHeight="1" x14ac:dyDescent="0.3">
      <c r="B18" s="4" t="s">
        <v>12</v>
      </c>
    </row>
    <row r="19" spans="2:2" ht="30" customHeight="1" x14ac:dyDescent="0.3">
      <c r="B19" s="4" t="s">
        <v>13</v>
      </c>
    </row>
    <row r="20" spans="2:2" ht="16.95" customHeight="1" x14ac:dyDescent="0.3">
      <c r="B20" s="4" t="s">
        <v>14</v>
      </c>
    </row>
    <row r="21" spans="2:2" ht="16.95" customHeight="1" x14ac:dyDescent="0.3">
      <c r="B21" s="4" t="s">
        <v>15</v>
      </c>
    </row>
    <row r="23" spans="2:2" ht="16.95" customHeight="1" x14ac:dyDescent="0.3">
      <c r="B23" s="3" t="s">
        <v>16</v>
      </c>
    </row>
    <row r="24" spans="2:2" ht="16.95" customHeight="1" x14ac:dyDescent="0.3">
      <c r="B24" s="4" t="s">
        <v>17</v>
      </c>
    </row>
    <row r="25" spans="2:2" ht="30" customHeight="1" x14ac:dyDescent="0.3">
      <c r="B25" s="4" t="s">
        <v>18</v>
      </c>
    </row>
    <row r="26" spans="2:2" ht="30" customHeight="1" x14ac:dyDescent="0.3">
      <c r="B26" s="4" t="s">
        <v>19</v>
      </c>
    </row>
    <row r="27" spans="2:2" ht="30" customHeight="1" x14ac:dyDescent="0.3">
      <c r="B27" s="4" t="s">
        <v>20</v>
      </c>
    </row>
    <row r="28" spans="2:2" ht="30" customHeight="1" x14ac:dyDescent="0.3">
      <c r="B28" s="4" t="s">
        <v>21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7"/>
  <sheetViews>
    <sheetView workbookViewId="0">
      <pane ySplit="1" topLeftCell="A2" activePane="bottomLeft" state="frozen"/>
      <selection pane="bottomLeft" activeCell="B15" sqref="B15"/>
    </sheetView>
  </sheetViews>
  <sheetFormatPr baseColWidth="10" defaultColWidth="8.88671875" defaultRowHeight="14.4" x14ac:dyDescent="0.3"/>
  <cols>
    <col min="1" max="1" width="26" customWidth="1"/>
    <col min="2" max="2" width="46" customWidth="1"/>
  </cols>
  <sheetData>
    <row r="1" spans="1:2" ht="25.95" customHeight="1" x14ac:dyDescent="0.3">
      <c r="A1" s="6" t="s">
        <v>22</v>
      </c>
      <c r="B1" s="6" t="s">
        <v>23</v>
      </c>
    </row>
    <row r="2" spans="1:2" x14ac:dyDescent="0.3">
      <c r="A2" s="7" t="s">
        <v>24</v>
      </c>
      <c r="B2" s="8"/>
    </row>
    <row r="3" spans="1:2" x14ac:dyDescent="0.3">
      <c r="A3" s="7" t="s">
        <v>25</v>
      </c>
      <c r="B3" s="8"/>
    </row>
    <row r="4" spans="1:2" x14ac:dyDescent="0.3">
      <c r="A4" s="7" t="s">
        <v>26</v>
      </c>
      <c r="B4" s="8"/>
    </row>
    <row r="5" spans="1:2" x14ac:dyDescent="0.3">
      <c r="A5" s="7" t="s">
        <v>27</v>
      </c>
      <c r="B5" s="8"/>
    </row>
    <row r="6" spans="1:2" x14ac:dyDescent="0.3">
      <c r="A6" s="7" t="s">
        <v>28</v>
      </c>
      <c r="B6" s="8"/>
    </row>
    <row r="7" spans="1:2" x14ac:dyDescent="0.3">
      <c r="A7" s="7" t="s">
        <v>29</v>
      </c>
      <c r="B7" s="8" t="s">
        <v>30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O400"/>
  <sheetViews>
    <sheetView workbookViewId="0">
      <pane ySplit="1" topLeftCell="A2" activePane="bottomLeft" state="frozen"/>
      <selection pane="bottomLeft"/>
    </sheetView>
  </sheetViews>
  <sheetFormatPr baseColWidth="10" defaultColWidth="8.88671875" defaultRowHeight="14.4" x14ac:dyDescent="0.3"/>
  <cols>
    <col min="1" max="1" width="6" customWidth="1"/>
    <col min="2" max="2" width="30" customWidth="1"/>
    <col min="3" max="3" width="16" customWidth="1"/>
    <col min="4" max="4" width="11" customWidth="1"/>
    <col min="5" max="6" width="12" customWidth="1"/>
    <col min="7" max="7" width="15" customWidth="1"/>
    <col min="8" max="8" width="10" customWidth="1"/>
    <col min="9" max="9" width="8" customWidth="1"/>
    <col min="10" max="10" width="12" customWidth="1"/>
    <col min="11" max="12" width="11" customWidth="1"/>
    <col min="13" max="13" width="12" customWidth="1"/>
    <col min="14" max="14" width="11" customWidth="1"/>
    <col min="15" max="15" width="12" customWidth="1"/>
  </cols>
  <sheetData>
    <row r="1" spans="1:15" ht="25.95" customHeight="1" x14ac:dyDescent="0.3">
      <c r="A1" s="6" t="s">
        <v>31</v>
      </c>
      <c r="B1" s="6" t="s">
        <v>32</v>
      </c>
      <c r="C1" s="6" t="s">
        <v>22</v>
      </c>
      <c r="D1" s="6" t="s">
        <v>33</v>
      </c>
      <c r="E1" s="6" t="s">
        <v>34</v>
      </c>
      <c r="F1" s="6" t="s">
        <v>35</v>
      </c>
      <c r="G1" s="6" t="s">
        <v>36</v>
      </c>
      <c r="H1" s="6" t="s">
        <v>37</v>
      </c>
      <c r="I1" s="6" t="s">
        <v>38</v>
      </c>
      <c r="J1" s="6" t="s">
        <v>39</v>
      </c>
      <c r="K1" s="6" t="s">
        <v>40</v>
      </c>
      <c r="L1" s="6" t="s">
        <v>41</v>
      </c>
      <c r="M1" s="6" t="s">
        <v>42</v>
      </c>
      <c r="N1" s="6" t="s">
        <v>43</v>
      </c>
      <c r="O1" s="6" t="s">
        <v>44</v>
      </c>
    </row>
    <row r="2" spans="1:15" x14ac:dyDescent="0.3">
      <c r="A2">
        <v>1</v>
      </c>
      <c r="B2" t="s">
        <v>45</v>
      </c>
      <c r="C2" t="s">
        <v>24</v>
      </c>
      <c r="D2" t="s">
        <v>46</v>
      </c>
      <c r="E2" s="9">
        <v>2.5</v>
      </c>
      <c r="F2" s="9">
        <v>0.6</v>
      </c>
      <c r="G2" t="s">
        <v>47</v>
      </c>
      <c r="H2" t="s">
        <v>48</v>
      </c>
      <c r="I2" t="s">
        <v>48</v>
      </c>
      <c r="J2" s="10"/>
      <c r="K2" s="10">
        <v>98</v>
      </c>
      <c r="L2" s="10">
        <v>0</v>
      </c>
      <c r="M2" s="11">
        <f t="shared" ref="M2:M65" si="0">IF($B2="","",IF($D2="Flasche",IF(N($J2)=0,"",$F2/$J2),$F2))</f>
        <v>0.6</v>
      </c>
      <c r="N2" s="10"/>
      <c r="O2" s="9"/>
    </row>
    <row r="3" spans="1:15" x14ac:dyDescent="0.3">
      <c r="A3">
        <v>2</v>
      </c>
      <c r="B3" t="s">
        <v>49</v>
      </c>
      <c r="C3" t="s">
        <v>24</v>
      </c>
      <c r="D3" t="s">
        <v>46</v>
      </c>
      <c r="E3" s="9">
        <v>2.5</v>
      </c>
      <c r="F3" s="9">
        <v>0.6</v>
      </c>
      <c r="G3" t="s">
        <v>47</v>
      </c>
      <c r="H3" t="s">
        <v>48</v>
      </c>
      <c r="I3" t="s">
        <v>48</v>
      </c>
      <c r="J3" s="10"/>
      <c r="K3" s="10">
        <v>41</v>
      </c>
      <c r="L3" s="10">
        <v>0</v>
      </c>
      <c r="M3" s="11">
        <f t="shared" si="0"/>
        <v>0.6</v>
      </c>
      <c r="N3" s="10"/>
      <c r="O3" s="9"/>
    </row>
    <row r="4" spans="1:15" x14ac:dyDescent="0.3">
      <c r="A4">
        <v>3</v>
      </c>
      <c r="B4" t="s">
        <v>50</v>
      </c>
      <c r="C4" t="s">
        <v>24</v>
      </c>
      <c r="D4" t="s">
        <v>46</v>
      </c>
      <c r="E4" s="9">
        <v>2.5</v>
      </c>
      <c r="F4" s="9">
        <v>0.6</v>
      </c>
      <c r="G4" t="s">
        <v>47</v>
      </c>
      <c r="H4" t="s">
        <v>48</v>
      </c>
      <c r="I4" t="s">
        <v>48</v>
      </c>
      <c r="J4" s="10"/>
      <c r="K4" s="10">
        <v>74</v>
      </c>
      <c r="L4" s="10">
        <v>40</v>
      </c>
      <c r="M4" s="11">
        <f t="shared" si="0"/>
        <v>0.6</v>
      </c>
      <c r="N4" s="10"/>
      <c r="O4" s="9"/>
    </row>
    <row r="5" spans="1:15" x14ac:dyDescent="0.3">
      <c r="A5">
        <v>4</v>
      </c>
      <c r="B5" t="s">
        <v>51</v>
      </c>
      <c r="C5" t="s">
        <v>25</v>
      </c>
      <c r="D5" t="s">
        <v>46</v>
      </c>
      <c r="E5" s="9">
        <v>3</v>
      </c>
      <c r="F5" s="9">
        <v>1.1000000000000001</v>
      </c>
      <c r="G5" t="s">
        <v>47</v>
      </c>
      <c r="H5" t="s">
        <v>48</v>
      </c>
      <c r="I5" t="s">
        <v>48</v>
      </c>
      <c r="J5" s="10"/>
      <c r="K5" s="10">
        <v>28</v>
      </c>
      <c r="L5" s="10">
        <v>0</v>
      </c>
      <c r="M5" s="11">
        <f t="shared" si="0"/>
        <v>1.1000000000000001</v>
      </c>
      <c r="N5" s="10"/>
      <c r="O5" s="9"/>
    </row>
    <row r="6" spans="1:15" x14ac:dyDescent="0.3">
      <c r="A6">
        <v>5</v>
      </c>
      <c r="B6" t="s">
        <v>52</v>
      </c>
      <c r="C6" t="s">
        <v>29</v>
      </c>
      <c r="D6" t="s">
        <v>53</v>
      </c>
      <c r="E6" s="9">
        <v>0</v>
      </c>
      <c r="F6" s="9">
        <v>28</v>
      </c>
      <c r="G6" t="s">
        <v>47</v>
      </c>
      <c r="H6" t="s">
        <v>54</v>
      </c>
      <c r="I6" t="s">
        <v>48</v>
      </c>
      <c r="J6" s="10">
        <v>700</v>
      </c>
      <c r="K6" s="10">
        <v>640</v>
      </c>
      <c r="L6" s="10">
        <v>0</v>
      </c>
      <c r="M6" s="11">
        <f t="shared" si="0"/>
        <v>0.04</v>
      </c>
      <c r="N6" s="10"/>
      <c r="O6" s="9"/>
    </row>
    <row r="7" spans="1:15" x14ac:dyDescent="0.3">
      <c r="A7">
        <v>6</v>
      </c>
      <c r="B7" t="s">
        <v>55</v>
      </c>
      <c r="C7" t="s">
        <v>25</v>
      </c>
      <c r="D7" t="s">
        <v>46</v>
      </c>
      <c r="E7" s="9">
        <v>1.5</v>
      </c>
      <c r="F7" s="9">
        <v>0</v>
      </c>
      <c r="G7" t="s">
        <v>56</v>
      </c>
      <c r="H7" t="s">
        <v>48</v>
      </c>
      <c r="I7" t="s">
        <v>48</v>
      </c>
      <c r="J7" s="10"/>
      <c r="K7" s="10">
        <v>0</v>
      </c>
      <c r="L7" s="10">
        <v>0</v>
      </c>
      <c r="M7" s="11">
        <f t="shared" si="0"/>
        <v>0</v>
      </c>
      <c r="N7" s="10"/>
      <c r="O7" s="9"/>
    </row>
    <row r="8" spans="1:15" x14ac:dyDescent="0.3">
      <c r="A8">
        <v>7</v>
      </c>
      <c r="B8" t="s">
        <v>57</v>
      </c>
      <c r="C8" t="s">
        <v>25</v>
      </c>
      <c r="D8" t="s">
        <v>46</v>
      </c>
      <c r="E8" s="9">
        <v>5</v>
      </c>
      <c r="F8" s="9">
        <v>0</v>
      </c>
      <c r="G8" t="s">
        <v>56</v>
      </c>
      <c r="H8" t="s">
        <v>48</v>
      </c>
      <c r="I8" t="s">
        <v>48</v>
      </c>
      <c r="J8" s="10"/>
      <c r="K8" s="10">
        <v>0</v>
      </c>
      <c r="L8" s="10">
        <v>0</v>
      </c>
      <c r="M8" s="11">
        <f t="shared" si="0"/>
        <v>0</v>
      </c>
      <c r="N8" s="10"/>
      <c r="O8" s="9"/>
    </row>
    <row r="9" spans="1:15" x14ac:dyDescent="0.3">
      <c r="E9" s="9"/>
      <c r="F9" s="9"/>
      <c r="J9" s="10"/>
      <c r="K9" s="10"/>
      <c r="L9" s="10"/>
      <c r="M9" s="11" t="str">
        <f t="shared" si="0"/>
        <v/>
      </c>
      <c r="N9" s="10"/>
      <c r="O9" s="9"/>
    </row>
    <row r="10" spans="1:15" x14ac:dyDescent="0.3">
      <c r="E10" s="9"/>
      <c r="F10" s="9"/>
      <c r="J10" s="10"/>
      <c r="K10" s="10"/>
      <c r="L10" s="10"/>
      <c r="M10" s="11" t="str">
        <f t="shared" si="0"/>
        <v/>
      </c>
      <c r="N10" s="10"/>
      <c r="O10" s="9"/>
    </row>
    <row r="11" spans="1:15" x14ac:dyDescent="0.3">
      <c r="E11" s="9"/>
      <c r="F11" s="9"/>
      <c r="J11" s="10"/>
      <c r="K11" s="10"/>
      <c r="L11" s="10"/>
      <c r="M11" s="11" t="str">
        <f t="shared" si="0"/>
        <v/>
      </c>
      <c r="N11" s="10"/>
      <c r="O11" s="9"/>
    </row>
    <row r="12" spans="1:15" x14ac:dyDescent="0.3">
      <c r="E12" s="9"/>
      <c r="F12" s="9"/>
      <c r="J12" s="10"/>
      <c r="K12" s="10"/>
      <c r="L12" s="10"/>
      <c r="M12" s="11" t="str">
        <f t="shared" si="0"/>
        <v/>
      </c>
      <c r="N12" s="10"/>
      <c r="O12" s="9"/>
    </row>
    <row r="13" spans="1:15" x14ac:dyDescent="0.3">
      <c r="E13" s="9"/>
      <c r="F13" s="9"/>
      <c r="J13" s="10"/>
      <c r="K13" s="10"/>
      <c r="L13" s="10"/>
      <c r="M13" s="11" t="str">
        <f t="shared" si="0"/>
        <v/>
      </c>
      <c r="N13" s="10"/>
      <c r="O13" s="9"/>
    </row>
    <row r="14" spans="1:15" x14ac:dyDescent="0.3">
      <c r="E14" s="9"/>
      <c r="F14" s="9"/>
      <c r="J14" s="10"/>
      <c r="K14" s="10"/>
      <c r="L14" s="10"/>
      <c r="M14" s="11" t="str">
        <f t="shared" si="0"/>
        <v/>
      </c>
      <c r="N14" s="10"/>
      <c r="O14" s="9"/>
    </row>
    <row r="15" spans="1:15" x14ac:dyDescent="0.3">
      <c r="E15" s="9"/>
      <c r="F15" s="9"/>
      <c r="J15" s="10"/>
      <c r="K15" s="10"/>
      <c r="L15" s="10"/>
      <c r="M15" s="11" t="str">
        <f t="shared" si="0"/>
        <v/>
      </c>
      <c r="N15" s="10"/>
      <c r="O15" s="9"/>
    </row>
    <row r="16" spans="1:15" x14ac:dyDescent="0.3">
      <c r="E16" s="9"/>
      <c r="F16" s="9"/>
      <c r="J16" s="10"/>
      <c r="K16" s="10"/>
      <c r="L16" s="10"/>
      <c r="M16" s="11" t="str">
        <f t="shared" si="0"/>
        <v/>
      </c>
      <c r="N16" s="10"/>
      <c r="O16" s="9"/>
    </row>
    <row r="17" spans="5:15" x14ac:dyDescent="0.3">
      <c r="E17" s="9"/>
      <c r="F17" s="9"/>
      <c r="J17" s="10"/>
      <c r="K17" s="10"/>
      <c r="L17" s="10"/>
      <c r="M17" s="11" t="str">
        <f t="shared" si="0"/>
        <v/>
      </c>
      <c r="N17" s="10"/>
      <c r="O17" s="9"/>
    </row>
    <row r="18" spans="5:15" x14ac:dyDescent="0.3">
      <c r="E18" s="9"/>
      <c r="F18" s="9"/>
      <c r="J18" s="10"/>
      <c r="K18" s="10"/>
      <c r="L18" s="10"/>
      <c r="M18" s="11" t="str">
        <f t="shared" si="0"/>
        <v/>
      </c>
      <c r="N18" s="10"/>
      <c r="O18" s="9"/>
    </row>
    <row r="19" spans="5:15" x14ac:dyDescent="0.3">
      <c r="E19" s="9"/>
      <c r="F19" s="9"/>
      <c r="J19" s="10"/>
      <c r="K19" s="10"/>
      <c r="L19" s="10"/>
      <c r="M19" s="11" t="str">
        <f t="shared" si="0"/>
        <v/>
      </c>
      <c r="N19" s="10"/>
      <c r="O19" s="9"/>
    </row>
    <row r="20" spans="5:15" x14ac:dyDescent="0.3">
      <c r="E20" s="9"/>
      <c r="F20" s="9"/>
      <c r="J20" s="10"/>
      <c r="K20" s="10"/>
      <c r="L20" s="10"/>
      <c r="M20" s="11" t="str">
        <f t="shared" si="0"/>
        <v/>
      </c>
      <c r="N20" s="10"/>
      <c r="O20" s="9"/>
    </row>
    <row r="21" spans="5:15" x14ac:dyDescent="0.3">
      <c r="E21" s="9"/>
      <c r="F21" s="9"/>
      <c r="J21" s="10"/>
      <c r="K21" s="10"/>
      <c r="L21" s="10"/>
      <c r="M21" s="11" t="str">
        <f t="shared" si="0"/>
        <v/>
      </c>
      <c r="N21" s="10"/>
      <c r="O21" s="9"/>
    </row>
    <row r="22" spans="5:15" x14ac:dyDescent="0.3">
      <c r="E22" s="9"/>
      <c r="F22" s="9"/>
      <c r="J22" s="10"/>
      <c r="K22" s="10"/>
      <c r="L22" s="10"/>
      <c r="M22" s="11" t="str">
        <f t="shared" si="0"/>
        <v/>
      </c>
      <c r="N22" s="10"/>
      <c r="O22" s="9"/>
    </row>
    <row r="23" spans="5:15" x14ac:dyDescent="0.3">
      <c r="E23" s="9"/>
      <c r="F23" s="9"/>
      <c r="J23" s="10"/>
      <c r="K23" s="10"/>
      <c r="L23" s="10"/>
      <c r="M23" s="11" t="str">
        <f t="shared" si="0"/>
        <v/>
      </c>
      <c r="N23" s="10"/>
      <c r="O23" s="9"/>
    </row>
    <row r="24" spans="5:15" x14ac:dyDescent="0.3">
      <c r="E24" s="9"/>
      <c r="F24" s="9"/>
      <c r="J24" s="10"/>
      <c r="K24" s="10"/>
      <c r="L24" s="10"/>
      <c r="M24" s="11" t="str">
        <f t="shared" si="0"/>
        <v/>
      </c>
      <c r="N24" s="10"/>
      <c r="O24" s="9"/>
    </row>
    <row r="25" spans="5:15" x14ac:dyDescent="0.3">
      <c r="E25" s="9"/>
      <c r="F25" s="9"/>
      <c r="J25" s="10"/>
      <c r="K25" s="10"/>
      <c r="L25" s="10"/>
      <c r="M25" s="11" t="str">
        <f t="shared" si="0"/>
        <v/>
      </c>
      <c r="N25" s="10"/>
      <c r="O25" s="9"/>
    </row>
    <row r="26" spans="5:15" x14ac:dyDescent="0.3">
      <c r="E26" s="9"/>
      <c r="F26" s="9"/>
      <c r="J26" s="10"/>
      <c r="K26" s="10"/>
      <c r="L26" s="10"/>
      <c r="M26" s="11" t="str">
        <f t="shared" si="0"/>
        <v/>
      </c>
      <c r="N26" s="10"/>
      <c r="O26" s="9"/>
    </row>
    <row r="27" spans="5:15" x14ac:dyDescent="0.3">
      <c r="E27" s="9"/>
      <c r="F27" s="9"/>
      <c r="J27" s="10"/>
      <c r="K27" s="10"/>
      <c r="L27" s="10"/>
      <c r="M27" s="11" t="str">
        <f t="shared" si="0"/>
        <v/>
      </c>
      <c r="N27" s="10"/>
      <c r="O27" s="9"/>
    </row>
    <row r="28" spans="5:15" x14ac:dyDescent="0.3">
      <c r="E28" s="9"/>
      <c r="F28" s="9"/>
      <c r="J28" s="10"/>
      <c r="K28" s="10"/>
      <c r="L28" s="10"/>
      <c r="M28" s="11" t="str">
        <f t="shared" si="0"/>
        <v/>
      </c>
      <c r="N28" s="10"/>
      <c r="O28" s="9"/>
    </row>
    <row r="29" spans="5:15" x14ac:dyDescent="0.3">
      <c r="E29" s="9"/>
      <c r="F29" s="9"/>
      <c r="J29" s="10"/>
      <c r="K29" s="10"/>
      <c r="L29" s="10"/>
      <c r="M29" s="11" t="str">
        <f t="shared" si="0"/>
        <v/>
      </c>
      <c r="N29" s="10"/>
      <c r="O29" s="9"/>
    </row>
    <row r="30" spans="5:15" x14ac:dyDescent="0.3">
      <c r="E30" s="9"/>
      <c r="F30" s="9"/>
      <c r="J30" s="10"/>
      <c r="K30" s="10"/>
      <c r="L30" s="10"/>
      <c r="M30" s="11" t="str">
        <f t="shared" si="0"/>
        <v/>
      </c>
      <c r="N30" s="10"/>
      <c r="O30" s="9"/>
    </row>
    <row r="31" spans="5:15" x14ac:dyDescent="0.3">
      <c r="E31" s="9"/>
      <c r="F31" s="9"/>
      <c r="J31" s="10"/>
      <c r="K31" s="10"/>
      <c r="L31" s="10"/>
      <c r="M31" s="11" t="str">
        <f t="shared" si="0"/>
        <v/>
      </c>
      <c r="N31" s="10"/>
      <c r="O31" s="9"/>
    </row>
    <row r="32" spans="5:15" x14ac:dyDescent="0.3">
      <c r="E32" s="9"/>
      <c r="F32" s="9"/>
      <c r="J32" s="10"/>
      <c r="K32" s="10"/>
      <c r="L32" s="10"/>
      <c r="M32" s="11" t="str">
        <f t="shared" si="0"/>
        <v/>
      </c>
      <c r="N32" s="10"/>
      <c r="O32" s="9"/>
    </row>
    <row r="33" spans="5:15" x14ac:dyDescent="0.3">
      <c r="E33" s="9"/>
      <c r="F33" s="9"/>
      <c r="J33" s="10"/>
      <c r="K33" s="10"/>
      <c r="L33" s="10"/>
      <c r="M33" s="11" t="str">
        <f t="shared" si="0"/>
        <v/>
      </c>
      <c r="N33" s="10"/>
      <c r="O33" s="9"/>
    </row>
    <row r="34" spans="5:15" x14ac:dyDescent="0.3">
      <c r="E34" s="9"/>
      <c r="F34" s="9"/>
      <c r="J34" s="10"/>
      <c r="K34" s="10"/>
      <c r="L34" s="10"/>
      <c r="M34" s="11" t="str">
        <f t="shared" si="0"/>
        <v/>
      </c>
      <c r="N34" s="10"/>
      <c r="O34" s="9"/>
    </row>
    <row r="35" spans="5:15" x14ac:dyDescent="0.3">
      <c r="E35" s="9"/>
      <c r="F35" s="9"/>
      <c r="J35" s="10"/>
      <c r="K35" s="10"/>
      <c r="L35" s="10"/>
      <c r="M35" s="11" t="str">
        <f t="shared" si="0"/>
        <v/>
      </c>
      <c r="N35" s="10"/>
      <c r="O35" s="9"/>
    </row>
    <row r="36" spans="5:15" x14ac:dyDescent="0.3">
      <c r="E36" s="9"/>
      <c r="F36" s="9"/>
      <c r="J36" s="10"/>
      <c r="K36" s="10"/>
      <c r="L36" s="10"/>
      <c r="M36" s="11" t="str">
        <f t="shared" si="0"/>
        <v/>
      </c>
      <c r="N36" s="10"/>
      <c r="O36" s="9"/>
    </row>
    <row r="37" spans="5:15" x14ac:dyDescent="0.3">
      <c r="E37" s="9"/>
      <c r="F37" s="9"/>
      <c r="J37" s="10"/>
      <c r="K37" s="10"/>
      <c r="L37" s="10"/>
      <c r="M37" s="11" t="str">
        <f t="shared" si="0"/>
        <v/>
      </c>
      <c r="N37" s="10"/>
      <c r="O37" s="9"/>
    </row>
    <row r="38" spans="5:15" x14ac:dyDescent="0.3">
      <c r="E38" s="9"/>
      <c r="F38" s="9"/>
      <c r="J38" s="10"/>
      <c r="K38" s="10"/>
      <c r="L38" s="10"/>
      <c r="M38" s="11" t="str">
        <f t="shared" si="0"/>
        <v/>
      </c>
      <c r="N38" s="10"/>
      <c r="O38" s="9"/>
    </row>
    <row r="39" spans="5:15" x14ac:dyDescent="0.3">
      <c r="E39" s="9"/>
      <c r="F39" s="9"/>
      <c r="J39" s="10"/>
      <c r="K39" s="10"/>
      <c r="L39" s="10"/>
      <c r="M39" s="11" t="str">
        <f t="shared" si="0"/>
        <v/>
      </c>
      <c r="N39" s="10"/>
      <c r="O39" s="9"/>
    </row>
    <row r="40" spans="5:15" x14ac:dyDescent="0.3">
      <c r="E40" s="9"/>
      <c r="F40" s="9"/>
      <c r="J40" s="10"/>
      <c r="K40" s="10"/>
      <c r="L40" s="10"/>
      <c r="M40" s="11" t="str">
        <f t="shared" si="0"/>
        <v/>
      </c>
      <c r="N40" s="10"/>
      <c r="O40" s="9"/>
    </row>
    <row r="41" spans="5:15" x14ac:dyDescent="0.3">
      <c r="E41" s="9"/>
      <c r="F41" s="9"/>
      <c r="J41" s="10"/>
      <c r="K41" s="10"/>
      <c r="L41" s="10"/>
      <c r="M41" s="11" t="str">
        <f t="shared" si="0"/>
        <v/>
      </c>
      <c r="N41" s="10"/>
      <c r="O41" s="9"/>
    </row>
    <row r="42" spans="5:15" x14ac:dyDescent="0.3">
      <c r="E42" s="9"/>
      <c r="F42" s="9"/>
      <c r="J42" s="10"/>
      <c r="K42" s="10"/>
      <c r="L42" s="10"/>
      <c r="M42" s="11" t="str">
        <f t="shared" si="0"/>
        <v/>
      </c>
      <c r="N42" s="10"/>
      <c r="O42" s="9"/>
    </row>
    <row r="43" spans="5:15" x14ac:dyDescent="0.3">
      <c r="E43" s="9"/>
      <c r="F43" s="9"/>
      <c r="J43" s="10"/>
      <c r="K43" s="10"/>
      <c r="L43" s="10"/>
      <c r="M43" s="11" t="str">
        <f t="shared" si="0"/>
        <v/>
      </c>
      <c r="N43" s="10"/>
      <c r="O43" s="9"/>
    </row>
    <row r="44" spans="5:15" x14ac:dyDescent="0.3">
      <c r="E44" s="9"/>
      <c r="F44" s="9"/>
      <c r="J44" s="10"/>
      <c r="K44" s="10"/>
      <c r="L44" s="10"/>
      <c r="M44" s="11" t="str">
        <f t="shared" si="0"/>
        <v/>
      </c>
      <c r="N44" s="10"/>
      <c r="O44" s="9"/>
    </row>
    <row r="45" spans="5:15" x14ac:dyDescent="0.3">
      <c r="E45" s="9"/>
      <c r="F45" s="9"/>
      <c r="J45" s="10"/>
      <c r="K45" s="10"/>
      <c r="L45" s="10"/>
      <c r="M45" s="11" t="str">
        <f t="shared" si="0"/>
        <v/>
      </c>
      <c r="N45" s="10"/>
      <c r="O45" s="9"/>
    </row>
    <row r="46" spans="5:15" x14ac:dyDescent="0.3">
      <c r="E46" s="9"/>
      <c r="F46" s="9"/>
      <c r="J46" s="10"/>
      <c r="K46" s="10"/>
      <c r="L46" s="10"/>
      <c r="M46" s="11" t="str">
        <f t="shared" si="0"/>
        <v/>
      </c>
      <c r="N46" s="10"/>
      <c r="O46" s="9"/>
    </row>
    <row r="47" spans="5:15" x14ac:dyDescent="0.3">
      <c r="E47" s="9"/>
      <c r="F47" s="9"/>
      <c r="J47" s="10"/>
      <c r="K47" s="10"/>
      <c r="L47" s="10"/>
      <c r="M47" s="11" t="str">
        <f t="shared" si="0"/>
        <v/>
      </c>
      <c r="N47" s="10"/>
      <c r="O47" s="9"/>
    </row>
    <row r="48" spans="5:15" x14ac:dyDescent="0.3">
      <c r="E48" s="9"/>
      <c r="F48" s="9"/>
      <c r="J48" s="10"/>
      <c r="K48" s="10"/>
      <c r="L48" s="10"/>
      <c r="M48" s="11" t="str">
        <f t="shared" si="0"/>
        <v/>
      </c>
      <c r="N48" s="10"/>
      <c r="O48" s="9"/>
    </row>
    <row r="49" spans="5:15" x14ac:dyDescent="0.3">
      <c r="E49" s="9"/>
      <c r="F49" s="9"/>
      <c r="J49" s="10"/>
      <c r="K49" s="10"/>
      <c r="L49" s="10"/>
      <c r="M49" s="11" t="str">
        <f t="shared" si="0"/>
        <v/>
      </c>
      <c r="N49" s="10"/>
      <c r="O49" s="9"/>
    </row>
    <row r="50" spans="5:15" x14ac:dyDescent="0.3">
      <c r="E50" s="9"/>
      <c r="F50" s="9"/>
      <c r="J50" s="10"/>
      <c r="K50" s="10"/>
      <c r="L50" s="10"/>
      <c r="M50" s="11" t="str">
        <f t="shared" si="0"/>
        <v/>
      </c>
      <c r="N50" s="10"/>
      <c r="O50" s="9"/>
    </row>
    <row r="51" spans="5:15" x14ac:dyDescent="0.3">
      <c r="E51" s="9"/>
      <c r="F51" s="9"/>
      <c r="J51" s="10"/>
      <c r="K51" s="10"/>
      <c r="L51" s="10"/>
      <c r="M51" s="11" t="str">
        <f t="shared" si="0"/>
        <v/>
      </c>
      <c r="N51" s="10"/>
      <c r="O51" s="9"/>
    </row>
    <row r="52" spans="5:15" x14ac:dyDescent="0.3">
      <c r="E52" s="9"/>
      <c r="F52" s="9"/>
      <c r="J52" s="10"/>
      <c r="K52" s="10"/>
      <c r="L52" s="10"/>
      <c r="M52" s="11" t="str">
        <f t="shared" si="0"/>
        <v/>
      </c>
      <c r="N52" s="10"/>
      <c r="O52" s="9"/>
    </row>
    <row r="53" spans="5:15" x14ac:dyDescent="0.3">
      <c r="E53" s="9"/>
      <c r="F53" s="9"/>
      <c r="J53" s="10"/>
      <c r="K53" s="10"/>
      <c r="L53" s="10"/>
      <c r="M53" s="11" t="str">
        <f t="shared" si="0"/>
        <v/>
      </c>
      <c r="N53" s="10"/>
      <c r="O53" s="9"/>
    </row>
    <row r="54" spans="5:15" x14ac:dyDescent="0.3">
      <c r="E54" s="9"/>
      <c r="F54" s="9"/>
      <c r="J54" s="10"/>
      <c r="K54" s="10"/>
      <c r="L54" s="10"/>
      <c r="M54" s="11" t="str">
        <f t="shared" si="0"/>
        <v/>
      </c>
      <c r="N54" s="10"/>
      <c r="O54" s="9"/>
    </row>
    <row r="55" spans="5:15" x14ac:dyDescent="0.3">
      <c r="E55" s="9"/>
      <c r="F55" s="9"/>
      <c r="J55" s="10"/>
      <c r="K55" s="10"/>
      <c r="L55" s="10"/>
      <c r="M55" s="11" t="str">
        <f t="shared" si="0"/>
        <v/>
      </c>
      <c r="N55" s="10"/>
      <c r="O55" s="9"/>
    </row>
    <row r="56" spans="5:15" x14ac:dyDescent="0.3">
      <c r="E56" s="9"/>
      <c r="F56" s="9"/>
      <c r="J56" s="10"/>
      <c r="K56" s="10"/>
      <c r="L56" s="10"/>
      <c r="M56" s="11" t="str">
        <f t="shared" si="0"/>
        <v/>
      </c>
      <c r="N56" s="10"/>
      <c r="O56" s="9"/>
    </row>
    <row r="57" spans="5:15" x14ac:dyDescent="0.3">
      <c r="E57" s="9"/>
      <c r="F57" s="9"/>
      <c r="J57" s="10"/>
      <c r="K57" s="10"/>
      <c r="L57" s="10"/>
      <c r="M57" s="11" t="str">
        <f t="shared" si="0"/>
        <v/>
      </c>
      <c r="N57" s="10"/>
      <c r="O57" s="9"/>
    </row>
    <row r="58" spans="5:15" x14ac:dyDescent="0.3">
      <c r="E58" s="9"/>
      <c r="F58" s="9"/>
      <c r="J58" s="10"/>
      <c r="K58" s="10"/>
      <c r="L58" s="10"/>
      <c r="M58" s="11" t="str">
        <f t="shared" si="0"/>
        <v/>
      </c>
      <c r="N58" s="10"/>
      <c r="O58" s="9"/>
    </row>
    <row r="59" spans="5:15" x14ac:dyDescent="0.3">
      <c r="E59" s="9"/>
      <c r="F59" s="9"/>
      <c r="J59" s="10"/>
      <c r="K59" s="10"/>
      <c r="L59" s="10"/>
      <c r="M59" s="11" t="str">
        <f t="shared" si="0"/>
        <v/>
      </c>
      <c r="N59" s="10"/>
      <c r="O59" s="9"/>
    </row>
    <row r="60" spans="5:15" x14ac:dyDescent="0.3">
      <c r="E60" s="9"/>
      <c r="F60" s="9"/>
      <c r="J60" s="10"/>
      <c r="K60" s="10"/>
      <c r="L60" s="10"/>
      <c r="M60" s="11" t="str">
        <f t="shared" si="0"/>
        <v/>
      </c>
      <c r="N60" s="10"/>
      <c r="O60" s="9"/>
    </row>
    <row r="61" spans="5:15" x14ac:dyDescent="0.3">
      <c r="E61" s="9"/>
      <c r="F61" s="9"/>
      <c r="J61" s="10"/>
      <c r="K61" s="10"/>
      <c r="L61" s="10"/>
      <c r="M61" s="11" t="str">
        <f t="shared" si="0"/>
        <v/>
      </c>
      <c r="N61" s="10"/>
      <c r="O61" s="9"/>
    </row>
    <row r="62" spans="5:15" x14ac:dyDescent="0.3">
      <c r="E62" s="9"/>
      <c r="F62" s="9"/>
      <c r="J62" s="10"/>
      <c r="K62" s="10"/>
      <c r="L62" s="10"/>
      <c r="M62" s="11" t="str">
        <f t="shared" si="0"/>
        <v/>
      </c>
      <c r="N62" s="10"/>
      <c r="O62" s="9"/>
    </row>
    <row r="63" spans="5:15" x14ac:dyDescent="0.3">
      <c r="E63" s="9"/>
      <c r="F63" s="9"/>
      <c r="J63" s="10"/>
      <c r="K63" s="10"/>
      <c r="L63" s="10"/>
      <c r="M63" s="11" t="str">
        <f t="shared" si="0"/>
        <v/>
      </c>
      <c r="N63" s="10"/>
      <c r="O63" s="9"/>
    </row>
    <row r="64" spans="5:15" x14ac:dyDescent="0.3">
      <c r="E64" s="9"/>
      <c r="F64" s="9"/>
      <c r="J64" s="10"/>
      <c r="K64" s="10"/>
      <c r="L64" s="10"/>
      <c r="M64" s="11" t="str">
        <f t="shared" si="0"/>
        <v/>
      </c>
      <c r="N64" s="10"/>
      <c r="O64" s="9"/>
    </row>
    <row r="65" spans="5:15" x14ac:dyDescent="0.3">
      <c r="E65" s="9"/>
      <c r="F65" s="9"/>
      <c r="J65" s="10"/>
      <c r="K65" s="10"/>
      <c r="L65" s="10"/>
      <c r="M65" s="11" t="str">
        <f t="shared" si="0"/>
        <v/>
      </c>
      <c r="N65" s="10"/>
      <c r="O65" s="9"/>
    </row>
    <row r="66" spans="5:15" x14ac:dyDescent="0.3">
      <c r="E66" s="9"/>
      <c r="F66" s="9"/>
      <c r="J66" s="10"/>
      <c r="K66" s="10"/>
      <c r="L66" s="10"/>
      <c r="M66" s="11" t="str">
        <f t="shared" ref="M66:M129" si="1">IF($B66="","",IF($D66="Flasche",IF(N($J66)=0,"",$F66/$J66),$F66))</f>
        <v/>
      </c>
      <c r="N66" s="10"/>
      <c r="O66" s="9"/>
    </row>
    <row r="67" spans="5:15" x14ac:dyDescent="0.3">
      <c r="E67" s="9"/>
      <c r="F67" s="9"/>
      <c r="J67" s="10"/>
      <c r="K67" s="10"/>
      <c r="L67" s="10"/>
      <c r="M67" s="11" t="str">
        <f t="shared" si="1"/>
        <v/>
      </c>
      <c r="N67" s="10"/>
      <c r="O67" s="9"/>
    </row>
    <row r="68" spans="5:15" x14ac:dyDescent="0.3">
      <c r="E68" s="9"/>
      <c r="F68" s="9"/>
      <c r="J68" s="10"/>
      <c r="K68" s="10"/>
      <c r="L68" s="10"/>
      <c r="M68" s="11" t="str">
        <f t="shared" si="1"/>
        <v/>
      </c>
      <c r="N68" s="10"/>
      <c r="O68" s="9"/>
    </row>
    <row r="69" spans="5:15" x14ac:dyDescent="0.3">
      <c r="E69" s="9"/>
      <c r="F69" s="9"/>
      <c r="J69" s="10"/>
      <c r="K69" s="10"/>
      <c r="L69" s="10"/>
      <c r="M69" s="11" t="str">
        <f t="shared" si="1"/>
        <v/>
      </c>
      <c r="N69" s="10"/>
      <c r="O69" s="9"/>
    </row>
    <row r="70" spans="5:15" x14ac:dyDescent="0.3">
      <c r="E70" s="9"/>
      <c r="F70" s="9"/>
      <c r="J70" s="10"/>
      <c r="K70" s="10"/>
      <c r="L70" s="10"/>
      <c r="M70" s="11" t="str">
        <f t="shared" si="1"/>
        <v/>
      </c>
      <c r="N70" s="10"/>
      <c r="O70" s="9"/>
    </row>
    <row r="71" spans="5:15" x14ac:dyDescent="0.3">
      <c r="E71" s="9"/>
      <c r="F71" s="9"/>
      <c r="J71" s="10"/>
      <c r="K71" s="10"/>
      <c r="L71" s="10"/>
      <c r="M71" s="11" t="str">
        <f t="shared" si="1"/>
        <v/>
      </c>
      <c r="N71" s="10"/>
      <c r="O71" s="9"/>
    </row>
    <row r="72" spans="5:15" x14ac:dyDescent="0.3">
      <c r="E72" s="9"/>
      <c r="F72" s="9"/>
      <c r="J72" s="10"/>
      <c r="K72" s="10"/>
      <c r="L72" s="10"/>
      <c r="M72" s="11" t="str">
        <f t="shared" si="1"/>
        <v/>
      </c>
      <c r="N72" s="10"/>
      <c r="O72" s="9"/>
    </row>
    <row r="73" spans="5:15" x14ac:dyDescent="0.3">
      <c r="E73" s="9"/>
      <c r="F73" s="9"/>
      <c r="J73" s="10"/>
      <c r="K73" s="10"/>
      <c r="L73" s="10"/>
      <c r="M73" s="11" t="str">
        <f t="shared" si="1"/>
        <v/>
      </c>
      <c r="N73" s="10"/>
      <c r="O73" s="9"/>
    </row>
    <row r="74" spans="5:15" x14ac:dyDescent="0.3">
      <c r="E74" s="9"/>
      <c r="F74" s="9"/>
      <c r="J74" s="10"/>
      <c r="K74" s="10"/>
      <c r="L74" s="10"/>
      <c r="M74" s="11" t="str">
        <f t="shared" si="1"/>
        <v/>
      </c>
      <c r="N74" s="10"/>
      <c r="O74" s="9"/>
    </row>
    <row r="75" spans="5:15" x14ac:dyDescent="0.3">
      <c r="E75" s="9"/>
      <c r="F75" s="9"/>
      <c r="J75" s="10"/>
      <c r="K75" s="10"/>
      <c r="L75" s="10"/>
      <c r="M75" s="11" t="str">
        <f t="shared" si="1"/>
        <v/>
      </c>
      <c r="N75" s="10"/>
      <c r="O75" s="9"/>
    </row>
    <row r="76" spans="5:15" x14ac:dyDescent="0.3">
      <c r="E76" s="9"/>
      <c r="F76" s="9"/>
      <c r="J76" s="10"/>
      <c r="K76" s="10"/>
      <c r="L76" s="10"/>
      <c r="M76" s="11" t="str">
        <f t="shared" si="1"/>
        <v/>
      </c>
      <c r="N76" s="10"/>
      <c r="O76" s="9"/>
    </row>
    <row r="77" spans="5:15" x14ac:dyDescent="0.3">
      <c r="E77" s="9"/>
      <c r="F77" s="9"/>
      <c r="J77" s="10"/>
      <c r="K77" s="10"/>
      <c r="L77" s="10"/>
      <c r="M77" s="11" t="str">
        <f t="shared" si="1"/>
        <v/>
      </c>
      <c r="N77" s="10"/>
      <c r="O77" s="9"/>
    </row>
    <row r="78" spans="5:15" x14ac:dyDescent="0.3">
      <c r="E78" s="9"/>
      <c r="F78" s="9"/>
      <c r="J78" s="10"/>
      <c r="K78" s="10"/>
      <c r="L78" s="10"/>
      <c r="M78" s="11" t="str">
        <f t="shared" si="1"/>
        <v/>
      </c>
      <c r="N78" s="10"/>
      <c r="O78" s="9"/>
    </row>
    <row r="79" spans="5:15" x14ac:dyDescent="0.3">
      <c r="E79" s="9"/>
      <c r="F79" s="9"/>
      <c r="J79" s="10"/>
      <c r="K79" s="10"/>
      <c r="L79" s="10"/>
      <c r="M79" s="11" t="str">
        <f t="shared" si="1"/>
        <v/>
      </c>
      <c r="N79" s="10"/>
      <c r="O79" s="9"/>
    </row>
    <row r="80" spans="5:15" x14ac:dyDescent="0.3">
      <c r="E80" s="9"/>
      <c r="F80" s="9"/>
      <c r="J80" s="10"/>
      <c r="K80" s="10"/>
      <c r="L80" s="10"/>
      <c r="M80" s="11" t="str">
        <f t="shared" si="1"/>
        <v/>
      </c>
      <c r="N80" s="10"/>
      <c r="O80" s="9"/>
    </row>
    <row r="81" spans="5:15" x14ac:dyDescent="0.3">
      <c r="E81" s="9"/>
      <c r="F81" s="9"/>
      <c r="J81" s="10"/>
      <c r="K81" s="10"/>
      <c r="L81" s="10"/>
      <c r="M81" s="11" t="str">
        <f t="shared" si="1"/>
        <v/>
      </c>
      <c r="N81" s="10"/>
      <c r="O81" s="9"/>
    </row>
    <row r="82" spans="5:15" x14ac:dyDescent="0.3">
      <c r="E82" s="9"/>
      <c r="F82" s="9"/>
      <c r="J82" s="10"/>
      <c r="K82" s="10"/>
      <c r="L82" s="10"/>
      <c r="M82" s="11" t="str">
        <f t="shared" si="1"/>
        <v/>
      </c>
      <c r="N82" s="10"/>
      <c r="O82" s="9"/>
    </row>
    <row r="83" spans="5:15" x14ac:dyDescent="0.3">
      <c r="E83" s="9"/>
      <c r="F83" s="9"/>
      <c r="J83" s="10"/>
      <c r="K83" s="10"/>
      <c r="L83" s="10"/>
      <c r="M83" s="11" t="str">
        <f t="shared" si="1"/>
        <v/>
      </c>
      <c r="N83" s="10"/>
      <c r="O83" s="9"/>
    </row>
    <row r="84" spans="5:15" x14ac:dyDescent="0.3">
      <c r="E84" s="9"/>
      <c r="F84" s="9"/>
      <c r="J84" s="10"/>
      <c r="K84" s="10"/>
      <c r="L84" s="10"/>
      <c r="M84" s="11" t="str">
        <f t="shared" si="1"/>
        <v/>
      </c>
      <c r="N84" s="10"/>
      <c r="O84" s="9"/>
    </row>
    <row r="85" spans="5:15" x14ac:dyDescent="0.3">
      <c r="E85" s="9"/>
      <c r="F85" s="9"/>
      <c r="J85" s="10"/>
      <c r="K85" s="10"/>
      <c r="L85" s="10"/>
      <c r="M85" s="11" t="str">
        <f t="shared" si="1"/>
        <v/>
      </c>
      <c r="N85" s="10"/>
      <c r="O85" s="9"/>
    </row>
    <row r="86" spans="5:15" x14ac:dyDescent="0.3">
      <c r="E86" s="9"/>
      <c r="F86" s="9"/>
      <c r="J86" s="10"/>
      <c r="K86" s="10"/>
      <c r="L86" s="10"/>
      <c r="M86" s="11" t="str">
        <f t="shared" si="1"/>
        <v/>
      </c>
      <c r="N86" s="10"/>
      <c r="O86" s="9"/>
    </row>
    <row r="87" spans="5:15" x14ac:dyDescent="0.3">
      <c r="E87" s="9"/>
      <c r="F87" s="9"/>
      <c r="J87" s="10"/>
      <c r="K87" s="10"/>
      <c r="L87" s="10"/>
      <c r="M87" s="11" t="str">
        <f t="shared" si="1"/>
        <v/>
      </c>
      <c r="N87" s="10"/>
      <c r="O87" s="9"/>
    </row>
    <row r="88" spans="5:15" x14ac:dyDescent="0.3">
      <c r="E88" s="9"/>
      <c r="F88" s="9"/>
      <c r="J88" s="10"/>
      <c r="K88" s="10"/>
      <c r="L88" s="10"/>
      <c r="M88" s="11" t="str">
        <f t="shared" si="1"/>
        <v/>
      </c>
      <c r="N88" s="10"/>
      <c r="O88" s="9"/>
    </row>
    <row r="89" spans="5:15" x14ac:dyDescent="0.3">
      <c r="E89" s="9"/>
      <c r="F89" s="9"/>
      <c r="J89" s="10"/>
      <c r="K89" s="10"/>
      <c r="L89" s="10"/>
      <c r="M89" s="11" t="str">
        <f t="shared" si="1"/>
        <v/>
      </c>
      <c r="N89" s="10"/>
      <c r="O89" s="9"/>
    </row>
    <row r="90" spans="5:15" x14ac:dyDescent="0.3">
      <c r="E90" s="9"/>
      <c r="F90" s="9"/>
      <c r="J90" s="10"/>
      <c r="K90" s="10"/>
      <c r="L90" s="10"/>
      <c r="M90" s="11" t="str">
        <f t="shared" si="1"/>
        <v/>
      </c>
      <c r="N90" s="10"/>
      <c r="O90" s="9"/>
    </row>
    <row r="91" spans="5:15" x14ac:dyDescent="0.3">
      <c r="E91" s="9"/>
      <c r="F91" s="9"/>
      <c r="J91" s="10"/>
      <c r="K91" s="10"/>
      <c r="L91" s="10"/>
      <c r="M91" s="11" t="str">
        <f t="shared" si="1"/>
        <v/>
      </c>
      <c r="N91" s="10"/>
      <c r="O91" s="9"/>
    </row>
    <row r="92" spans="5:15" x14ac:dyDescent="0.3">
      <c r="E92" s="9"/>
      <c r="F92" s="9"/>
      <c r="J92" s="10"/>
      <c r="K92" s="10"/>
      <c r="L92" s="10"/>
      <c r="M92" s="11" t="str">
        <f t="shared" si="1"/>
        <v/>
      </c>
      <c r="N92" s="10"/>
      <c r="O92" s="9"/>
    </row>
    <row r="93" spans="5:15" x14ac:dyDescent="0.3">
      <c r="E93" s="9"/>
      <c r="F93" s="9"/>
      <c r="J93" s="10"/>
      <c r="K93" s="10"/>
      <c r="L93" s="10"/>
      <c r="M93" s="11" t="str">
        <f t="shared" si="1"/>
        <v/>
      </c>
      <c r="N93" s="10"/>
      <c r="O93" s="9"/>
    </row>
    <row r="94" spans="5:15" x14ac:dyDescent="0.3">
      <c r="E94" s="9"/>
      <c r="F94" s="9"/>
      <c r="J94" s="10"/>
      <c r="K94" s="10"/>
      <c r="L94" s="10"/>
      <c r="M94" s="11" t="str">
        <f t="shared" si="1"/>
        <v/>
      </c>
      <c r="N94" s="10"/>
      <c r="O94" s="9"/>
    </row>
    <row r="95" spans="5:15" x14ac:dyDescent="0.3">
      <c r="E95" s="9"/>
      <c r="F95" s="9"/>
      <c r="J95" s="10"/>
      <c r="K95" s="10"/>
      <c r="L95" s="10"/>
      <c r="M95" s="11" t="str">
        <f t="shared" si="1"/>
        <v/>
      </c>
      <c r="N95" s="10"/>
      <c r="O95" s="9"/>
    </row>
    <row r="96" spans="5:15" x14ac:dyDescent="0.3">
      <c r="E96" s="9"/>
      <c r="F96" s="9"/>
      <c r="J96" s="10"/>
      <c r="K96" s="10"/>
      <c r="L96" s="10"/>
      <c r="M96" s="11" t="str">
        <f t="shared" si="1"/>
        <v/>
      </c>
      <c r="N96" s="10"/>
      <c r="O96" s="9"/>
    </row>
    <row r="97" spans="5:15" x14ac:dyDescent="0.3">
      <c r="E97" s="9"/>
      <c r="F97" s="9"/>
      <c r="J97" s="10"/>
      <c r="K97" s="10"/>
      <c r="L97" s="10"/>
      <c r="M97" s="11" t="str">
        <f t="shared" si="1"/>
        <v/>
      </c>
      <c r="N97" s="10"/>
      <c r="O97" s="9"/>
    </row>
    <row r="98" spans="5:15" x14ac:dyDescent="0.3">
      <c r="E98" s="9"/>
      <c r="F98" s="9"/>
      <c r="J98" s="10"/>
      <c r="K98" s="10"/>
      <c r="L98" s="10"/>
      <c r="M98" s="11" t="str">
        <f t="shared" si="1"/>
        <v/>
      </c>
      <c r="N98" s="10"/>
      <c r="O98" s="9"/>
    </row>
    <row r="99" spans="5:15" x14ac:dyDescent="0.3">
      <c r="E99" s="9"/>
      <c r="F99" s="9"/>
      <c r="J99" s="10"/>
      <c r="K99" s="10"/>
      <c r="L99" s="10"/>
      <c r="M99" s="11" t="str">
        <f t="shared" si="1"/>
        <v/>
      </c>
      <c r="N99" s="10"/>
      <c r="O99" s="9"/>
    </row>
    <row r="100" spans="5:15" x14ac:dyDescent="0.3">
      <c r="E100" s="9"/>
      <c r="F100" s="9"/>
      <c r="J100" s="10"/>
      <c r="K100" s="10"/>
      <c r="L100" s="10"/>
      <c r="M100" s="11" t="str">
        <f t="shared" si="1"/>
        <v/>
      </c>
      <c r="N100" s="10"/>
      <c r="O100" s="9"/>
    </row>
    <row r="101" spans="5:15" x14ac:dyDescent="0.3">
      <c r="E101" s="9"/>
      <c r="F101" s="9"/>
      <c r="J101" s="10"/>
      <c r="K101" s="10"/>
      <c r="L101" s="10"/>
      <c r="M101" s="11" t="str">
        <f t="shared" si="1"/>
        <v/>
      </c>
      <c r="N101" s="10"/>
      <c r="O101" s="9"/>
    </row>
    <row r="102" spans="5:15" x14ac:dyDescent="0.3">
      <c r="E102" s="9"/>
      <c r="F102" s="9"/>
      <c r="J102" s="10"/>
      <c r="K102" s="10"/>
      <c r="L102" s="10"/>
      <c r="M102" s="11" t="str">
        <f t="shared" si="1"/>
        <v/>
      </c>
      <c r="N102" s="10"/>
      <c r="O102" s="9"/>
    </row>
    <row r="103" spans="5:15" x14ac:dyDescent="0.3">
      <c r="E103" s="9"/>
      <c r="F103" s="9"/>
      <c r="J103" s="10"/>
      <c r="K103" s="10"/>
      <c r="L103" s="10"/>
      <c r="M103" s="11" t="str">
        <f t="shared" si="1"/>
        <v/>
      </c>
      <c r="N103" s="10"/>
      <c r="O103" s="9"/>
    </row>
    <row r="104" spans="5:15" x14ac:dyDescent="0.3">
      <c r="E104" s="9"/>
      <c r="F104" s="9"/>
      <c r="J104" s="10"/>
      <c r="K104" s="10"/>
      <c r="L104" s="10"/>
      <c r="M104" s="11" t="str">
        <f t="shared" si="1"/>
        <v/>
      </c>
      <c r="N104" s="10"/>
      <c r="O104" s="9"/>
    </row>
    <row r="105" spans="5:15" x14ac:dyDescent="0.3">
      <c r="E105" s="9"/>
      <c r="F105" s="9"/>
      <c r="J105" s="10"/>
      <c r="K105" s="10"/>
      <c r="L105" s="10"/>
      <c r="M105" s="11" t="str">
        <f t="shared" si="1"/>
        <v/>
      </c>
      <c r="N105" s="10"/>
      <c r="O105" s="9"/>
    </row>
    <row r="106" spans="5:15" x14ac:dyDescent="0.3">
      <c r="E106" s="9"/>
      <c r="F106" s="9"/>
      <c r="J106" s="10"/>
      <c r="K106" s="10"/>
      <c r="L106" s="10"/>
      <c r="M106" s="11" t="str">
        <f t="shared" si="1"/>
        <v/>
      </c>
      <c r="N106" s="10"/>
      <c r="O106" s="9"/>
    </row>
    <row r="107" spans="5:15" x14ac:dyDescent="0.3">
      <c r="E107" s="9"/>
      <c r="F107" s="9"/>
      <c r="J107" s="10"/>
      <c r="K107" s="10"/>
      <c r="L107" s="10"/>
      <c r="M107" s="11" t="str">
        <f t="shared" si="1"/>
        <v/>
      </c>
      <c r="N107" s="10"/>
      <c r="O107" s="9"/>
    </row>
    <row r="108" spans="5:15" x14ac:dyDescent="0.3">
      <c r="E108" s="9"/>
      <c r="F108" s="9"/>
      <c r="J108" s="10"/>
      <c r="K108" s="10"/>
      <c r="L108" s="10"/>
      <c r="M108" s="11" t="str">
        <f t="shared" si="1"/>
        <v/>
      </c>
      <c r="N108" s="10"/>
      <c r="O108" s="9"/>
    </row>
    <row r="109" spans="5:15" x14ac:dyDescent="0.3">
      <c r="E109" s="9"/>
      <c r="F109" s="9"/>
      <c r="J109" s="10"/>
      <c r="K109" s="10"/>
      <c r="L109" s="10"/>
      <c r="M109" s="11" t="str">
        <f t="shared" si="1"/>
        <v/>
      </c>
      <c r="N109" s="10"/>
      <c r="O109" s="9"/>
    </row>
    <row r="110" spans="5:15" x14ac:dyDescent="0.3">
      <c r="E110" s="9"/>
      <c r="F110" s="9"/>
      <c r="J110" s="10"/>
      <c r="K110" s="10"/>
      <c r="L110" s="10"/>
      <c r="M110" s="11" t="str">
        <f t="shared" si="1"/>
        <v/>
      </c>
      <c r="N110" s="10"/>
      <c r="O110" s="9"/>
    </row>
    <row r="111" spans="5:15" x14ac:dyDescent="0.3">
      <c r="E111" s="9"/>
      <c r="F111" s="9"/>
      <c r="J111" s="10"/>
      <c r="K111" s="10"/>
      <c r="L111" s="10"/>
      <c r="M111" s="11" t="str">
        <f t="shared" si="1"/>
        <v/>
      </c>
      <c r="N111" s="10"/>
      <c r="O111" s="9"/>
    </row>
    <row r="112" spans="5:15" x14ac:dyDescent="0.3">
      <c r="E112" s="9"/>
      <c r="F112" s="9"/>
      <c r="J112" s="10"/>
      <c r="K112" s="10"/>
      <c r="L112" s="10"/>
      <c r="M112" s="11" t="str">
        <f t="shared" si="1"/>
        <v/>
      </c>
      <c r="N112" s="10"/>
      <c r="O112" s="9"/>
    </row>
    <row r="113" spans="5:15" x14ac:dyDescent="0.3">
      <c r="E113" s="9"/>
      <c r="F113" s="9"/>
      <c r="J113" s="10"/>
      <c r="K113" s="10"/>
      <c r="L113" s="10"/>
      <c r="M113" s="11" t="str">
        <f t="shared" si="1"/>
        <v/>
      </c>
      <c r="N113" s="10"/>
      <c r="O113" s="9"/>
    </row>
    <row r="114" spans="5:15" x14ac:dyDescent="0.3">
      <c r="E114" s="9"/>
      <c r="F114" s="9"/>
      <c r="J114" s="10"/>
      <c r="K114" s="10"/>
      <c r="L114" s="10"/>
      <c r="M114" s="11" t="str">
        <f t="shared" si="1"/>
        <v/>
      </c>
      <c r="N114" s="10"/>
      <c r="O114" s="9"/>
    </row>
    <row r="115" spans="5:15" x14ac:dyDescent="0.3">
      <c r="E115" s="9"/>
      <c r="F115" s="9"/>
      <c r="J115" s="10"/>
      <c r="K115" s="10"/>
      <c r="L115" s="10"/>
      <c r="M115" s="11" t="str">
        <f t="shared" si="1"/>
        <v/>
      </c>
      <c r="N115" s="10"/>
      <c r="O115" s="9"/>
    </row>
    <row r="116" spans="5:15" x14ac:dyDescent="0.3">
      <c r="E116" s="9"/>
      <c r="F116" s="9"/>
      <c r="J116" s="10"/>
      <c r="K116" s="10"/>
      <c r="L116" s="10"/>
      <c r="M116" s="11" t="str">
        <f t="shared" si="1"/>
        <v/>
      </c>
      <c r="N116" s="10"/>
      <c r="O116" s="9"/>
    </row>
    <row r="117" spans="5:15" x14ac:dyDescent="0.3">
      <c r="E117" s="9"/>
      <c r="F117" s="9"/>
      <c r="J117" s="10"/>
      <c r="K117" s="10"/>
      <c r="L117" s="10"/>
      <c r="M117" s="11" t="str">
        <f t="shared" si="1"/>
        <v/>
      </c>
      <c r="N117" s="10"/>
      <c r="O117" s="9"/>
    </row>
    <row r="118" spans="5:15" x14ac:dyDescent="0.3">
      <c r="E118" s="9"/>
      <c r="F118" s="9"/>
      <c r="J118" s="10"/>
      <c r="K118" s="10"/>
      <c r="L118" s="10"/>
      <c r="M118" s="11" t="str">
        <f t="shared" si="1"/>
        <v/>
      </c>
      <c r="N118" s="10"/>
      <c r="O118" s="9"/>
    </row>
    <row r="119" spans="5:15" x14ac:dyDescent="0.3">
      <c r="E119" s="9"/>
      <c r="F119" s="9"/>
      <c r="J119" s="10"/>
      <c r="K119" s="10"/>
      <c r="L119" s="10"/>
      <c r="M119" s="11" t="str">
        <f t="shared" si="1"/>
        <v/>
      </c>
      <c r="N119" s="10"/>
      <c r="O119" s="9"/>
    </row>
    <row r="120" spans="5:15" x14ac:dyDescent="0.3">
      <c r="E120" s="9"/>
      <c r="F120" s="9"/>
      <c r="J120" s="10"/>
      <c r="K120" s="10"/>
      <c r="L120" s="10"/>
      <c r="M120" s="11" t="str">
        <f t="shared" si="1"/>
        <v/>
      </c>
      <c r="N120" s="10"/>
      <c r="O120" s="9"/>
    </row>
    <row r="121" spans="5:15" x14ac:dyDescent="0.3">
      <c r="E121" s="9"/>
      <c r="F121" s="9"/>
      <c r="J121" s="10"/>
      <c r="K121" s="10"/>
      <c r="L121" s="10"/>
      <c r="M121" s="11" t="str">
        <f t="shared" si="1"/>
        <v/>
      </c>
      <c r="N121" s="10"/>
      <c r="O121" s="9"/>
    </row>
    <row r="122" spans="5:15" x14ac:dyDescent="0.3">
      <c r="E122" s="9"/>
      <c r="F122" s="9"/>
      <c r="J122" s="10"/>
      <c r="K122" s="10"/>
      <c r="L122" s="10"/>
      <c r="M122" s="11" t="str">
        <f t="shared" si="1"/>
        <v/>
      </c>
      <c r="N122" s="10"/>
      <c r="O122" s="9"/>
    </row>
    <row r="123" spans="5:15" x14ac:dyDescent="0.3">
      <c r="E123" s="9"/>
      <c r="F123" s="9"/>
      <c r="J123" s="10"/>
      <c r="K123" s="10"/>
      <c r="L123" s="10"/>
      <c r="M123" s="11" t="str">
        <f t="shared" si="1"/>
        <v/>
      </c>
      <c r="N123" s="10"/>
      <c r="O123" s="9"/>
    </row>
    <row r="124" spans="5:15" x14ac:dyDescent="0.3">
      <c r="E124" s="9"/>
      <c r="F124" s="9"/>
      <c r="J124" s="10"/>
      <c r="K124" s="10"/>
      <c r="L124" s="10"/>
      <c r="M124" s="11" t="str">
        <f t="shared" si="1"/>
        <v/>
      </c>
      <c r="N124" s="10"/>
      <c r="O124" s="9"/>
    </row>
    <row r="125" spans="5:15" x14ac:dyDescent="0.3">
      <c r="E125" s="9"/>
      <c r="F125" s="9"/>
      <c r="J125" s="10"/>
      <c r="K125" s="10"/>
      <c r="L125" s="10"/>
      <c r="M125" s="11" t="str">
        <f t="shared" si="1"/>
        <v/>
      </c>
      <c r="N125" s="10"/>
      <c r="O125" s="9"/>
    </row>
    <row r="126" spans="5:15" x14ac:dyDescent="0.3">
      <c r="E126" s="9"/>
      <c r="F126" s="9"/>
      <c r="J126" s="10"/>
      <c r="K126" s="10"/>
      <c r="L126" s="10"/>
      <c r="M126" s="11" t="str">
        <f t="shared" si="1"/>
        <v/>
      </c>
      <c r="N126" s="10"/>
      <c r="O126" s="9"/>
    </row>
    <row r="127" spans="5:15" x14ac:dyDescent="0.3">
      <c r="E127" s="9"/>
      <c r="F127" s="9"/>
      <c r="J127" s="10"/>
      <c r="K127" s="10"/>
      <c r="L127" s="10"/>
      <c r="M127" s="11" t="str">
        <f t="shared" si="1"/>
        <v/>
      </c>
      <c r="N127" s="10"/>
      <c r="O127" s="9"/>
    </row>
    <row r="128" spans="5:15" x14ac:dyDescent="0.3">
      <c r="E128" s="9"/>
      <c r="F128" s="9"/>
      <c r="J128" s="10"/>
      <c r="K128" s="10"/>
      <c r="L128" s="10"/>
      <c r="M128" s="11" t="str">
        <f t="shared" si="1"/>
        <v/>
      </c>
      <c r="N128" s="10"/>
      <c r="O128" s="9"/>
    </row>
    <row r="129" spans="5:15" x14ac:dyDescent="0.3">
      <c r="E129" s="9"/>
      <c r="F129" s="9"/>
      <c r="J129" s="10"/>
      <c r="K129" s="10"/>
      <c r="L129" s="10"/>
      <c r="M129" s="11" t="str">
        <f t="shared" si="1"/>
        <v/>
      </c>
      <c r="N129" s="10"/>
      <c r="O129" s="9"/>
    </row>
    <row r="130" spans="5:15" x14ac:dyDescent="0.3">
      <c r="E130" s="9"/>
      <c r="F130" s="9"/>
      <c r="J130" s="10"/>
      <c r="K130" s="10"/>
      <c r="L130" s="10"/>
      <c r="M130" s="11" t="str">
        <f t="shared" ref="M130:M193" si="2">IF($B130="","",IF($D130="Flasche",IF(N($J130)=0,"",$F130/$J130),$F130))</f>
        <v/>
      </c>
      <c r="N130" s="10"/>
      <c r="O130" s="9"/>
    </row>
    <row r="131" spans="5:15" x14ac:dyDescent="0.3">
      <c r="E131" s="9"/>
      <c r="F131" s="9"/>
      <c r="J131" s="10"/>
      <c r="K131" s="10"/>
      <c r="L131" s="10"/>
      <c r="M131" s="11" t="str">
        <f t="shared" si="2"/>
        <v/>
      </c>
      <c r="N131" s="10"/>
      <c r="O131" s="9"/>
    </row>
    <row r="132" spans="5:15" x14ac:dyDescent="0.3">
      <c r="E132" s="9"/>
      <c r="F132" s="9"/>
      <c r="J132" s="10"/>
      <c r="K132" s="10"/>
      <c r="L132" s="10"/>
      <c r="M132" s="11" t="str">
        <f t="shared" si="2"/>
        <v/>
      </c>
      <c r="N132" s="10"/>
      <c r="O132" s="9"/>
    </row>
    <row r="133" spans="5:15" x14ac:dyDescent="0.3">
      <c r="E133" s="9"/>
      <c r="F133" s="9"/>
      <c r="J133" s="10"/>
      <c r="K133" s="10"/>
      <c r="L133" s="10"/>
      <c r="M133" s="11" t="str">
        <f t="shared" si="2"/>
        <v/>
      </c>
      <c r="N133" s="10"/>
      <c r="O133" s="9"/>
    </row>
    <row r="134" spans="5:15" x14ac:dyDescent="0.3">
      <c r="E134" s="9"/>
      <c r="F134" s="9"/>
      <c r="J134" s="10"/>
      <c r="K134" s="10"/>
      <c r="L134" s="10"/>
      <c r="M134" s="11" t="str">
        <f t="shared" si="2"/>
        <v/>
      </c>
      <c r="N134" s="10"/>
      <c r="O134" s="9"/>
    </row>
    <row r="135" spans="5:15" x14ac:dyDescent="0.3">
      <c r="E135" s="9"/>
      <c r="F135" s="9"/>
      <c r="J135" s="10"/>
      <c r="K135" s="10"/>
      <c r="L135" s="10"/>
      <c r="M135" s="11" t="str">
        <f t="shared" si="2"/>
        <v/>
      </c>
      <c r="N135" s="10"/>
      <c r="O135" s="9"/>
    </row>
    <row r="136" spans="5:15" x14ac:dyDescent="0.3">
      <c r="E136" s="9"/>
      <c r="F136" s="9"/>
      <c r="J136" s="10"/>
      <c r="K136" s="10"/>
      <c r="L136" s="10"/>
      <c r="M136" s="11" t="str">
        <f t="shared" si="2"/>
        <v/>
      </c>
      <c r="N136" s="10"/>
      <c r="O136" s="9"/>
    </row>
    <row r="137" spans="5:15" x14ac:dyDescent="0.3">
      <c r="E137" s="9"/>
      <c r="F137" s="9"/>
      <c r="J137" s="10"/>
      <c r="K137" s="10"/>
      <c r="L137" s="10"/>
      <c r="M137" s="11" t="str">
        <f t="shared" si="2"/>
        <v/>
      </c>
      <c r="N137" s="10"/>
      <c r="O137" s="9"/>
    </row>
    <row r="138" spans="5:15" x14ac:dyDescent="0.3">
      <c r="E138" s="9"/>
      <c r="F138" s="9"/>
      <c r="J138" s="10"/>
      <c r="K138" s="10"/>
      <c r="L138" s="10"/>
      <c r="M138" s="11" t="str">
        <f t="shared" si="2"/>
        <v/>
      </c>
      <c r="N138" s="10"/>
      <c r="O138" s="9"/>
    </row>
    <row r="139" spans="5:15" x14ac:dyDescent="0.3">
      <c r="E139" s="9"/>
      <c r="F139" s="9"/>
      <c r="J139" s="10"/>
      <c r="K139" s="10"/>
      <c r="L139" s="10"/>
      <c r="M139" s="11" t="str">
        <f t="shared" si="2"/>
        <v/>
      </c>
      <c r="N139" s="10"/>
      <c r="O139" s="9"/>
    </row>
    <row r="140" spans="5:15" x14ac:dyDescent="0.3">
      <c r="E140" s="9"/>
      <c r="F140" s="9"/>
      <c r="J140" s="10"/>
      <c r="K140" s="10"/>
      <c r="L140" s="10"/>
      <c r="M140" s="11" t="str">
        <f t="shared" si="2"/>
        <v/>
      </c>
      <c r="N140" s="10"/>
      <c r="O140" s="9"/>
    </row>
    <row r="141" spans="5:15" x14ac:dyDescent="0.3">
      <c r="E141" s="9"/>
      <c r="F141" s="9"/>
      <c r="J141" s="10"/>
      <c r="K141" s="10"/>
      <c r="L141" s="10"/>
      <c r="M141" s="11" t="str">
        <f t="shared" si="2"/>
        <v/>
      </c>
      <c r="N141" s="10"/>
      <c r="O141" s="9"/>
    </row>
    <row r="142" spans="5:15" x14ac:dyDescent="0.3">
      <c r="E142" s="9"/>
      <c r="F142" s="9"/>
      <c r="J142" s="10"/>
      <c r="K142" s="10"/>
      <c r="L142" s="10"/>
      <c r="M142" s="11" t="str">
        <f t="shared" si="2"/>
        <v/>
      </c>
      <c r="N142" s="10"/>
      <c r="O142" s="9"/>
    </row>
    <row r="143" spans="5:15" x14ac:dyDescent="0.3">
      <c r="E143" s="9"/>
      <c r="F143" s="9"/>
      <c r="J143" s="10"/>
      <c r="K143" s="10"/>
      <c r="L143" s="10"/>
      <c r="M143" s="11" t="str">
        <f t="shared" si="2"/>
        <v/>
      </c>
      <c r="N143" s="10"/>
      <c r="O143" s="9"/>
    </row>
    <row r="144" spans="5:15" x14ac:dyDescent="0.3">
      <c r="E144" s="9"/>
      <c r="F144" s="9"/>
      <c r="J144" s="10"/>
      <c r="K144" s="10"/>
      <c r="L144" s="10"/>
      <c r="M144" s="11" t="str">
        <f t="shared" si="2"/>
        <v/>
      </c>
      <c r="N144" s="10"/>
      <c r="O144" s="9"/>
    </row>
    <row r="145" spans="5:15" x14ac:dyDescent="0.3">
      <c r="E145" s="9"/>
      <c r="F145" s="9"/>
      <c r="J145" s="10"/>
      <c r="K145" s="10"/>
      <c r="L145" s="10"/>
      <c r="M145" s="11" t="str">
        <f t="shared" si="2"/>
        <v/>
      </c>
      <c r="N145" s="10"/>
      <c r="O145" s="9"/>
    </row>
    <row r="146" spans="5:15" x14ac:dyDescent="0.3">
      <c r="E146" s="9"/>
      <c r="F146" s="9"/>
      <c r="J146" s="10"/>
      <c r="K146" s="10"/>
      <c r="L146" s="10"/>
      <c r="M146" s="11" t="str">
        <f t="shared" si="2"/>
        <v/>
      </c>
      <c r="N146" s="10"/>
      <c r="O146" s="9"/>
    </row>
    <row r="147" spans="5:15" x14ac:dyDescent="0.3">
      <c r="E147" s="9"/>
      <c r="F147" s="9"/>
      <c r="J147" s="10"/>
      <c r="K147" s="10"/>
      <c r="L147" s="10"/>
      <c r="M147" s="11" t="str">
        <f t="shared" si="2"/>
        <v/>
      </c>
      <c r="N147" s="10"/>
      <c r="O147" s="9"/>
    </row>
    <row r="148" spans="5:15" x14ac:dyDescent="0.3">
      <c r="E148" s="9"/>
      <c r="F148" s="9"/>
      <c r="J148" s="10"/>
      <c r="K148" s="10"/>
      <c r="L148" s="10"/>
      <c r="M148" s="11" t="str">
        <f t="shared" si="2"/>
        <v/>
      </c>
      <c r="N148" s="10"/>
      <c r="O148" s="9"/>
    </row>
    <row r="149" spans="5:15" x14ac:dyDescent="0.3">
      <c r="E149" s="9"/>
      <c r="F149" s="9"/>
      <c r="J149" s="10"/>
      <c r="K149" s="10"/>
      <c r="L149" s="10"/>
      <c r="M149" s="11" t="str">
        <f t="shared" si="2"/>
        <v/>
      </c>
      <c r="N149" s="10"/>
      <c r="O149" s="9"/>
    </row>
    <row r="150" spans="5:15" x14ac:dyDescent="0.3">
      <c r="E150" s="9"/>
      <c r="F150" s="9"/>
      <c r="J150" s="10"/>
      <c r="K150" s="10"/>
      <c r="L150" s="10"/>
      <c r="M150" s="11" t="str">
        <f t="shared" si="2"/>
        <v/>
      </c>
      <c r="N150" s="10"/>
      <c r="O150" s="9"/>
    </row>
    <row r="151" spans="5:15" x14ac:dyDescent="0.3">
      <c r="E151" s="9"/>
      <c r="F151" s="9"/>
      <c r="J151" s="10"/>
      <c r="K151" s="10"/>
      <c r="L151" s="10"/>
      <c r="M151" s="11" t="str">
        <f t="shared" si="2"/>
        <v/>
      </c>
      <c r="N151" s="10"/>
      <c r="O151" s="9"/>
    </row>
    <row r="152" spans="5:15" x14ac:dyDescent="0.3">
      <c r="E152" s="9"/>
      <c r="F152" s="9"/>
      <c r="J152" s="10"/>
      <c r="K152" s="10"/>
      <c r="L152" s="10"/>
      <c r="M152" s="11" t="str">
        <f t="shared" si="2"/>
        <v/>
      </c>
      <c r="N152" s="10"/>
      <c r="O152" s="9"/>
    </row>
    <row r="153" spans="5:15" x14ac:dyDescent="0.3">
      <c r="E153" s="9"/>
      <c r="F153" s="9"/>
      <c r="J153" s="10"/>
      <c r="K153" s="10"/>
      <c r="L153" s="10"/>
      <c r="M153" s="11" t="str">
        <f t="shared" si="2"/>
        <v/>
      </c>
      <c r="N153" s="10"/>
      <c r="O153" s="9"/>
    </row>
    <row r="154" spans="5:15" x14ac:dyDescent="0.3">
      <c r="E154" s="9"/>
      <c r="F154" s="9"/>
      <c r="J154" s="10"/>
      <c r="K154" s="10"/>
      <c r="L154" s="10"/>
      <c r="M154" s="11" t="str">
        <f t="shared" si="2"/>
        <v/>
      </c>
      <c r="N154" s="10"/>
      <c r="O154" s="9"/>
    </row>
    <row r="155" spans="5:15" x14ac:dyDescent="0.3">
      <c r="E155" s="9"/>
      <c r="F155" s="9"/>
      <c r="J155" s="10"/>
      <c r="K155" s="10"/>
      <c r="L155" s="10"/>
      <c r="M155" s="11" t="str">
        <f t="shared" si="2"/>
        <v/>
      </c>
      <c r="N155" s="10"/>
      <c r="O155" s="9"/>
    </row>
    <row r="156" spans="5:15" x14ac:dyDescent="0.3">
      <c r="E156" s="9"/>
      <c r="F156" s="9"/>
      <c r="J156" s="10"/>
      <c r="K156" s="10"/>
      <c r="L156" s="10"/>
      <c r="M156" s="11" t="str">
        <f t="shared" si="2"/>
        <v/>
      </c>
      <c r="N156" s="10"/>
      <c r="O156" s="9"/>
    </row>
    <row r="157" spans="5:15" x14ac:dyDescent="0.3">
      <c r="E157" s="9"/>
      <c r="F157" s="9"/>
      <c r="J157" s="10"/>
      <c r="K157" s="10"/>
      <c r="L157" s="10"/>
      <c r="M157" s="11" t="str">
        <f t="shared" si="2"/>
        <v/>
      </c>
      <c r="N157" s="10"/>
      <c r="O157" s="9"/>
    </row>
    <row r="158" spans="5:15" x14ac:dyDescent="0.3">
      <c r="E158" s="9"/>
      <c r="F158" s="9"/>
      <c r="J158" s="10"/>
      <c r="K158" s="10"/>
      <c r="L158" s="10"/>
      <c r="M158" s="11" t="str">
        <f t="shared" si="2"/>
        <v/>
      </c>
      <c r="N158" s="10"/>
      <c r="O158" s="9"/>
    </row>
    <row r="159" spans="5:15" x14ac:dyDescent="0.3">
      <c r="E159" s="9"/>
      <c r="F159" s="9"/>
      <c r="J159" s="10"/>
      <c r="K159" s="10"/>
      <c r="L159" s="10"/>
      <c r="M159" s="11" t="str">
        <f t="shared" si="2"/>
        <v/>
      </c>
      <c r="N159" s="10"/>
      <c r="O159" s="9"/>
    </row>
    <row r="160" spans="5:15" x14ac:dyDescent="0.3">
      <c r="E160" s="9"/>
      <c r="F160" s="9"/>
      <c r="J160" s="10"/>
      <c r="K160" s="10"/>
      <c r="L160" s="10"/>
      <c r="M160" s="11" t="str">
        <f t="shared" si="2"/>
        <v/>
      </c>
      <c r="N160" s="10"/>
      <c r="O160" s="9"/>
    </row>
    <row r="161" spans="5:15" x14ac:dyDescent="0.3">
      <c r="E161" s="9"/>
      <c r="F161" s="9"/>
      <c r="J161" s="10"/>
      <c r="K161" s="10"/>
      <c r="L161" s="10"/>
      <c r="M161" s="11" t="str">
        <f t="shared" si="2"/>
        <v/>
      </c>
      <c r="N161" s="10"/>
      <c r="O161" s="9"/>
    </row>
    <row r="162" spans="5:15" x14ac:dyDescent="0.3">
      <c r="E162" s="9"/>
      <c r="F162" s="9"/>
      <c r="J162" s="10"/>
      <c r="K162" s="10"/>
      <c r="L162" s="10"/>
      <c r="M162" s="11" t="str">
        <f t="shared" si="2"/>
        <v/>
      </c>
      <c r="N162" s="10"/>
      <c r="O162" s="9"/>
    </row>
    <row r="163" spans="5:15" x14ac:dyDescent="0.3">
      <c r="E163" s="9"/>
      <c r="F163" s="9"/>
      <c r="J163" s="10"/>
      <c r="K163" s="10"/>
      <c r="L163" s="10"/>
      <c r="M163" s="11" t="str">
        <f t="shared" si="2"/>
        <v/>
      </c>
      <c r="N163" s="10"/>
      <c r="O163" s="9"/>
    </row>
    <row r="164" spans="5:15" x14ac:dyDescent="0.3">
      <c r="E164" s="9"/>
      <c r="F164" s="9"/>
      <c r="J164" s="10"/>
      <c r="K164" s="10"/>
      <c r="L164" s="10"/>
      <c r="M164" s="11" t="str">
        <f t="shared" si="2"/>
        <v/>
      </c>
      <c r="N164" s="10"/>
      <c r="O164" s="9"/>
    </row>
    <row r="165" spans="5:15" x14ac:dyDescent="0.3">
      <c r="E165" s="9"/>
      <c r="F165" s="9"/>
      <c r="J165" s="10"/>
      <c r="K165" s="10"/>
      <c r="L165" s="10"/>
      <c r="M165" s="11" t="str">
        <f t="shared" si="2"/>
        <v/>
      </c>
      <c r="N165" s="10"/>
      <c r="O165" s="9"/>
    </row>
    <row r="166" spans="5:15" x14ac:dyDescent="0.3">
      <c r="E166" s="9"/>
      <c r="F166" s="9"/>
      <c r="J166" s="10"/>
      <c r="K166" s="10"/>
      <c r="L166" s="10"/>
      <c r="M166" s="11" t="str">
        <f t="shared" si="2"/>
        <v/>
      </c>
      <c r="N166" s="10"/>
      <c r="O166" s="9"/>
    </row>
    <row r="167" spans="5:15" x14ac:dyDescent="0.3">
      <c r="E167" s="9"/>
      <c r="F167" s="9"/>
      <c r="J167" s="10"/>
      <c r="K167" s="10"/>
      <c r="L167" s="10"/>
      <c r="M167" s="11" t="str">
        <f t="shared" si="2"/>
        <v/>
      </c>
      <c r="N167" s="10"/>
      <c r="O167" s="9"/>
    </row>
    <row r="168" spans="5:15" x14ac:dyDescent="0.3">
      <c r="E168" s="9"/>
      <c r="F168" s="9"/>
      <c r="J168" s="10"/>
      <c r="K168" s="10"/>
      <c r="L168" s="10"/>
      <c r="M168" s="11" t="str">
        <f t="shared" si="2"/>
        <v/>
      </c>
      <c r="N168" s="10"/>
      <c r="O168" s="9"/>
    </row>
    <row r="169" spans="5:15" x14ac:dyDescent="0.3">
      <c r="E169" s="9"/>
      <c r="F169" s="9"/>
      <c r="J169" s="10"/>
      <c r="K169" s="10"/>
      <c r="L169" s="10"/>
      <c r="M169" s="11" t="str">
        <f t="shared" si="2"/>
        <v/>
      </c>
      <c r="N169" s="10"/>
      <c r="O169" s="9"/>
    </row>
    <row r="170" spans="5:15" x14ac:dyDescent="0.3">
      <c r="E170" s="9"/>
      <c r="F170" s="9"/>
      <c r="J170" s="10"/>
      <c r="K170" s="10"/>
      <c r="L170" s="10"/>
      <c r="M170" s="11" t="str">
        <f t="shared" si="2"/>
        <v/>
      </c>
      <c r="N170" s="10"/>
      <c r="O170" s="9"/>
    </row>
    <row r="171" spans="5:15" x14ac:dyDescent="0.3">
      <c r="E171" s="9"/>
      <c r="F171" s="9"/>
      <c r="J171" s="10"/>
      <c r="K171" s="10"/>
      <c r="L171" s="10"/>
      <c r="M171" s="11" t="str">
        <f t="shared" si="2"/>
        <v/>
      </c>
      <c r="N171" s="10"/>
      <c r="O171" s="9"/>
    </row>
    <row r="172" spans="5:15" x14ac:dyDescent="0.3">
      <c r="E172" s="9"/>
      <c r="F172" s="9"/>
      <c r="J172" s="10"/>
      <c r="K172" s="10"/>
      <c r="L172" s="10"/>
      <c r="M172" s="11" t="str">
        <f t="shared" si="2"/>
        <v/>
      </c>
      <c r="N172" s="10"/>
      <c r="O172" s="9"/>
    </row>
    <row r="173" spans="5:15" x14ac:dyDescent="0.3">
      <c r="E173" s="9"/>
      <c r="F173" s="9"/>
      <c r="J173" s="10"/>
      <c r="K173" s="10"/>
      <c r="L173" s="10"/>
      <c r="M173" s="11" t="str">
        <f t="shared" si="2"/>
        <v/>
      </c>
      <c r="N173" s="10"/>
      <c r="O173" s="9"/>
    </row>
    <row r="174" spans="5:15" x14ac:dyDescent="0.3">
      <c r="E174" s="9"/>
      <c r="F174" s="9"/>
      <c r="J174" s="10"/>
      <c r="K174" s="10"/>
      <c r="L174" s="10"/>
      <c r="M174" s="11" t="str">
        <f t="shared" si="2"/>
        <v/>
      </c>
      <c r="N174" s="10"/>
      <c r="O174" s="9"/>
    </row>
    <row r="175" spans="5:15" x14ac:dyDescent="0.3">
      <c r="E175" s="9"/>
      <c r="F175" s="9"/>
      <c r="J175" s="10"/>
      <c r="K175" s="10"/>
      <c r="L175" s="10"/>
      <c r="M175" s="11" t="str">
        <f t="shared" si="2"/>
        <v/>
      </c>
      <c r="N175" s="10"/>
      <c r="O175" s="9"/>
    </row>
    <row r="176" spans="5:15" x14ac:dyDescent="0.3">
      <c r="E176" s="9"/>
      <c r="F176" s="9"/>
      <c r="J176" s="10"/>
      <c r="K176" s="10"/>
      <c r="L176" s="10"/>
      <c r="M176" s="11" t="str">
        <f t="shared" si="2"/>
        <v/>
      </c>
      <c r="N176" s="10"/>
      <c r="O176" s="9"/>
    </row>
    <row r="177" spans="5:15" x14ac:dyDescent="0.3">
      <c r="E177" s="9"/>
      <c r="F177" s="9"/>
      <c r="J177" s="10"/>
      <c r="K177" s="10"/>
      <c r="L177" s="10"/>
      <c r="M177" s="11" t="str">
        <f t="shared" si="2"/>
        <v/>
      </c>
      <c r="N177" s="10"/>
      <c r="O177" s="9"/>
    </row>
    <row r="178" spans="5:15" x14ac:dyDescent="0.3">
      <c r="E178" s="9"/>
      <c r="F178" s="9"/>
      <c r="J178" s="10"/>
      <c r="K178" s="10"/>
      <c r="L178" s="10"/>
      <c r="M178" s="11" t="str">
        <f t="shared" si="2"/>
        <v/>
      </c>
      <c r="N178" s="10"/>
      <c r="O178" s="9"/>
    </row>
    <row r="179" spans="5:15" x14ac:dyDescent="0.3">
      <c r="E179" s="9"/>
      <c r="F179" s="9"/>
      <c r="J179" s="10"/>
      <c r="K179" s="10"/>
      <c r="L179" s="10"/>
      <c r="M179" s="11" t="str">
        <f t="shared" si="2"/>
        <v/>
      </c>
      <c r="N179" s="10"/>
      <c r="O179" s="9"/>
    </row>
    <row r="180" spans="5:15" x14ac:dyDescent="0.3">
      <c r="E180" s="9"/>
      <c r="F180" s="9"/>
      <c r="J180" s="10"/>
      <c r="K180" s="10"/>
      <c r="L180" s="10"/>
      <c r="M180" s="11" t="str">
        <f t="shared" si="2"/>
        <v/>
      </c>
      <c r="N180" s="10"/>
      <c r="O180" s="9"/>
    </row>
    <row r="181" spans="5:15" x14ac:dyDescent="0.3">
      <c r="E181" s="9"/>
      <c r="F181" s="9"/>
      <c r="J181" s="10"/>
      <c r="K181" s="10"/>
      <c r="L181" s="10"/>
      <c r="M181" s="11" t="str">
        <f t="shared" si="2"/>
        <v/>
      </c>
      <c r="N181" s="10"/>
      <c r="O181" s="9"/>
    </row>
    <row r="182" spans="5:15" x14ac:dyDescent="0.3">
      <c r="E182" s="9"/>
      <c r="F182" s="9"/>
      <c r="J182" s="10"/>
      <c r="K182" s="10"/>
      <c r="L182" s="10"/>
      <c r="M182" s="11" t="str">
        <f t="shared" si="2"/>
        <v/>
      </c>
      <c r="N182" s="10"/>
      <c r="O182" s="9"/>
    </row>
    <row r="183" spans="5:15" x14ac:dyDescent="0.3">
      <c r="E183" s="9"/>
      <c r="F183" s="9"/>
      <c r="J183" s="10"/>
      <c r="K183" s="10"/>
      <c r="L183" s="10"/>
      <c r="M183" s="11" t="str">
        <f t="shared" si="2"/>
        <v/>
      </c>
      <c r="N183" s="10"/>
      <c r="O183" s="9"/>
    </row>
    <row r="184" spans="5:15" x14ac:dyDescent="0.3">
      <c r="E184" s="9"/>
      <c r="F184" s="9"/>
      <c r="J184" s="10"/>
      <c r="K184" s="10"/>
      <c r="L184" s="10"/>
      <c r="M184" s="11" t="str">
        <f t="shared" si="2"/>
        <v/>
      </c>
      <c r="N184" s="10"/>
      <c r="O184" s="9"/>
    </row>
    <row r="185" spans="5:15" x14ac:dyDescent="0.3">
      <c r="E185" s="9"/>
      <c r="F185" s="9"/>
      <c r="J185" s="10"/>
      <c r="K185" s="10"/>
      <c r="L185" s="10"/>
      <c r="M185" s="11" t="str">
        <f t="shared" si="2"/>
        <v/>
      </c>
      <c r="N185" s="10"/>
      <c r="O185" s="9"/>
    </row>
    <row r="186" spans="5:15" x14ac:dyDescent="0.3">
      <c r="E186" s="9"/>
      <c r="F186" s="9"/>
      <c r="J186" s="10"/>
      <c r="K186" s="10"/>
      <c r="L186" s="10"/>
      <c r="M186" s="11" t="str">
        <f t="shared" si="2"/>
        <v/>
      </c>
      <c r="N186" s="10"/>
      <c r="O186" s="9"/>
    </row>
    <row r="187" spans="5:15" x14ac:dyDescent="0.3">
      <c r="E187" s="9"/>
      <c r="F187" s="9"/>
      <c r="J187" s="10"/>
      <c r="K187" s="10"/>
      <c r="L187" s="10"/>
      <c r="M187" s="11" t="str">
        <f t="shared" si="2"/>
        <v/>
      </c>
      <c r="N187" s="10"/>
      <c r="O187" s="9"/>
    </row>
    <row r="188" spans="5:15" x14ac:dyDescent="0.3">
      <c r="E188" s="9"/>
      <c r="F188" s="9"/>
      <c r="J188" s="10"/>
      <c r="K188" s="10"/>
      <c r="L188" s="10"/>
      <c r="M188" s="11" t="str">
        <f t="shared" si="2"/>
        <v/>
      </c>
      <c r="N188" s="10"/>
      <c r="O188" s="9"/>
    </row>
    <row r="189" spans="5:15" x14ac:dyDescent="0.3">
      <c r="E189" s="9"/>
      <c r="F189" s="9"/>
      <c r="J189" s="10"/>
      <c r="K189" s="10"/>
      <c r="L189" s="10"/>
      <c r="M189" s="11" t="str">
        <f t="shared" si="2"/>
        <v/>
      </c>
      <c r="N189" s="10"/>
      <c r="O189" s="9"/>
    </row>
    <row r="190" spans="5:15" x14ac:dyDescent="0.3">
      <c r="E190" s="9"/>
      <c r="F190" s="9"/>
      <c r="J190" s="10"/>
      <c r="K190" s="10"/>
      <c r="L190" s="10"/>
      <c r="M190" s="11" t="str">
        <f t="shared" si="2"/>
        <v/>
      </c>
      <c r="N190" s="10"/>
      <c r="O190" s="9"/>
    </row>
    <row r="191" spans="5:15" x14ac:dyDescent="0.3">
      <c r="E191" s="9"/>
      <c r="F191" s="9"/>
      <c r="J191" s="10"/>
      <c r="K191" s="10"/>
      <c r="L191" s="10"/>
      <c r="M191" s="11" t="str">
        <f t="shared" si="2"/>
        <v/>
      </c>
      <c r="N191" s="10"/>
      <c r="O191" s="9"/>
    </row>
    <row r="192" spans="5:15" x14ac:dyDescent="0.3">
      <c r="E192" s="9"/>
      <c r="F192" s="9"/>
      <c r="J192" s="10"/>
      <c r="K192" s="10"/>
      <c r="L192" s="10"/>
      <c r="M192" s="11" t="str">
        <f t="shared" si="2"/>
        <v/>
      </c>
      <c r="N192" s="10"/>
      <c r="O192" s="9"/>
    </row>
    <row r="193" spans="5:15" x14ac:dyDescent="0.3">
      <c r="E193" s="9"/>
      <c r="F193" s="9"/>
      <c r="J193" s="10"/>
      <c r="K193" s="10"/>
      <c r="L193" s="10"/>
      <c r="M193" s="11" t="str">
        <f t="shared" si="2"/>
        <v/>
      </c>
      <c r="N193" s="10"/>
      <c r="O193" s="9"/>
    </row>
    <row r="194" spans="5:15" x14ac:dyDescent="0.3">
      <c r="E194" s="9"/>
      <c r="F194" s="9"/>
      <c r="J194" s="10"/>
      <c r="K194" s="10"/>
      <c r="L194" s="10"/>
      <c r="M194" s="11" t="str">
        <f t="shared" ref="M194:M257" si="3">IF($B194="","",IF($D194="Flasche",IF(N($J194)=0,"",$F194/$J194),$F194))</f>
        <v/>
      </c>
      <c r="N194" s="10"/>
      <c r="O194" s="9"/>
    </row>
    <row r="195" spans="5:15" x14ac:dyDescent="0.3">
      <c r="E195" s="9"/>
      <c r="F195" s="9"/>
      <c r="J195" s="10"/>
      <c r="K195" s="10"/>
      <c r="L195" s="10"/>
      <c r="M195" s="11" t="str">
        <f t="shared" si="3"/>
        <v/>
      </c>
      <c r="N195" s="10"/>
      <c r="O195" s="9"/>
    </row>
    <row r="196" spans="5:15" x14ac:dyDescent="0.3">
      <c r="E196" s="9"/>
      <c r="F196" s="9"/>
      <c r="J196" s="10"/>
      <c r="K196" s="10"/>
      <c r="L196" s="10"/>
      <c r="M196" s="11" t="str">
        <f t="shared" si="3"/>
        <v/>
      </c>
      <c r="N196" s="10"/>
      <c r="O196" s="9"/>
    </row>
    <row r="197" spans="5:15" x14ac:dyDescent="0.3">
      <c r="E197" s="9"/>
      <c r="F197" s="9"/>
      <c r="J197" s="10"/>
      <c r="K197" s="10"/>
      <c r="L197" s="10"/>
      <c r="M197" s="11" t="str">
        <f t="shared" si="3"/>
        <v/>
      </c>
      <c r="N197" s="10"/>
      <c r="O197" s="9"/>
    </row>
    <row r="198" spans="5:15" x14ac:dyDescent="0.3">
      <c r="E198" s="9"/>
      <c r="F198" s="9"/>
      <c r="J198" s="10"/>
      <c r="K198" s="10"/>
      <c r="L198" s="10"/>
      <c r="M198" s="11" t="str">
        <f t="shared" si="3"/>
        <v/>
      </c>
      <c r="N198" s="10"/>
      <c r="O198" s="9"/>
    </row>
    <row r="199" spans="5:15" x14ac:dyDescent="0.3">
      <c r="E199" s="9"/>
      <c r="F199" s="9"/>
      <c r="J199" s="10"/>
      <c r="K199" s="10"/>
      <c r="L199" s="10"/>
      <c r="M199" s="11" t="str">
        <f t="shared" si="3"/>
        <v/>
      </c>
      <c r="N199" s="10"/>
      <c r="O199" s="9"/>
    </row>
    <row r="200" spans="5:15" x14ac:dyDescent="0.3">
      <c r="E200" s="9"/>
      <c r="F200" s="9"/>
      <c r="J200" s="10"/>
      <c r="K200" s="10"/>
      <c r="L200" s="10"/>
      <c r="M200" s="11" t="str">
        <f t="shared" si="3"/>
        <v/>
      </c>
      <c r="N200" s="10"/>
      <c r="O200" s="9"/>
    </row>
    <row r="201" spans="5:15" x14ac:dyDescent="0.3">
      <c r="E201" s="9"/>
      <c r="F201" s="9"/>
      <c r="J201" s="10"/>
      <c r="K201" s="10"/>
      <c r="L201" s="10"/>
      <c r="M201" s="11" t="str">
        <f t="shared" si="3"/>
        <v/>
      </c>
      <c r="N201" s="10"/>
      <c r="O201" s="9"/>
    </row>
    <row r="202" spans="5:15" x14ac:dyDescent="0.3">
      <c r="E202" s="9"/>
      <c r="F202" s="9"/>
      <c r="J202" s="10"/>
      <c r="K202" s="10"/>
      <c r="L202" s="10"/>
      <c r="M202" s="11" t="str">
        <f t="shared" si="3"/>
        <v/>
      </c>
      <c r="N202" s="10"/>
      <c r="O202" s="9"/>
    </row>
    <row r="203" spans="5:15" x14ac:dyDescent="0.3">
      <c r="E203" s="9"/>
      <c r="F203" s="9"/>
      <c r="J203" s="10"/>
      <c r="K203" s="10"/>
      <c r="L203" s="10"/>
      <c r="M203" s="11" t="str">
        <f t="shared" si="3"/>
        <v/>
      </c>
      <c r="N203" s="10"/>
      <c r="O203" s="9"/>
    </row>
    <row r="204" spans="5:15" x14ac:dyDescent="0.3">
      <c r="E204" s="9"/>
      <c r="F204" s="9"/>
      <c r="J204" s="10"/>
      <c r="K204" s="10"/>
      <c r="L204" s="10"/>
      <c r="M204" s="11" t="str">
        <f t="shared" si="3"/>
        <v/>
      </c>
      <c r="N204" s="10"/>
      <c r="O204" s="9"/>
    </row>
    <row r="205" spans="5:15" x14ac:dyDescent="0.3">
      <c r="E205" s="9"/>
      <c r="F205" s="9"/>
      <c r="J205" s="10"/>
      <c r="K205" s="10"/>
      <c r="L205" s="10"/>
      <c r="M205" s="11" t="str">
        <f t="shared" si="3"/>
        <v/>
      </c>
      <c r="N205" s="10"/>
      <c r="O205" s="9"/>
    </row>
    <row r="206" spans="5:15" x14ac:dyDescent="0.3">
      <c r="E206" s="9"/>
      <c r="F206" s="9"/>
      <c r="J206" s="10"/>
      <c r="K206" s="10"/>
      <c r="L206" s="10"/>
      <c r="M206" s="11" t="str">
        <f t="shared" si="3"/>
        <v/>
      </c>
      <c r="N206" s="10"/>
      <c r="O206" s="9"/>
    </row>
    <row r="207" spans="5:15" x14ac:dyDescent="0.3">
      <c r="E207" s="9"/>
      <c r="F207" s="9"/>
      <c r="J207" s="10"/>
      <c r="K207" s="10"/>
      <c r="L207" s="10"/>
      <c r="M207" s="11" t="str">
        <f t="shared" si="3"/>
        <v/>
      </c>
      <c r="N207" s="10"/>
      <c r="O207" s="9"/>
    </row>
    <row r="208" spans="5:15" x14ac:dyDescent="0.3">
      <c r="E208" s="9"/>
      <c r="F208" s="9"/>
      <c r="J208" s="10"/>
      <c r="K208" s="10"/>
      <c r="L208" s="10"/>
      <c r="M208" s="11" t="str">
        <f t="shared" si="3"/>
        <v/>
      </c>
      <c r="N208" s="10"/>
      <c r="O208" s="9"/>
    </row>
    <row r="209" spans="5:15" x14ac:dyDescent="0.3">
      <c r="E209" s="9"/>
      <c r="F209" s="9"/>
      <c r="J209" s="10"/>
      <c r="K209" s="10"/>
      <c r="L209" s="10"/>
      <c r="M209" s="11" t="str">
        <f t="shared" si="3"/>
        <v/>
      </c>
      <c r="N209" s="10"/>
      <c r="O209" s="9"/>
    </row>
    <row r="210" spans="5:15" x14ac:dyDescent="0.3">
      <c r="E210" s="9"/>
      <c r="F210" s="9"/>
      <c r="J210" s="10"/>
      <c r="K210" s="10"/>
      <c r="L210" s="10"/>
      <c r="M210" s="11" t="str">
        <f t="shared" si="3"/>
        <v/>
      </c>
      <c r="N210" s="10"/>
      <c r="O210" s="9"/>
    </row>
    <row r="211" spans="5:15" x14ac:dyDescent="0.3">
      <c r="E211" s="9"/>
      <c r="F211" s="9"/>
      <c r="J211" s="10"/>
      <c r="K211" s="10"/>
      <c r="L211" s="10"/>
      <c r="M211" s="11" t="str">
        <f t="shared" si="3"/>
        <v/>
      </c>
      <c r="N211" s="10"/>
      <c r="O211" s="9"/>
    </row>
    <row r="212" spans="5:15" x14ac:dyDescent="0.3">
      <c r="E212" s="9"/>
      <c r="F212" s="9"/>
      <c r="J212" s="10"/>
      <c r="K212" s="10"/>
      <c r="L212" s="10"/>
      <c r="M212" s="11" t="str">
        <f t="shared" si="3"/>
        <v/>
      </c>
      <c r="N212" s="10"/>
      <c r="O212" s="9"/>
    </row>
    <row r="213" spans="5:15" x14ac:dyDescent="0.3">
      <c r="E213" s="9"/>
      <c r="F213" s="9"/>
      <c r="J213" s="10"/>
      <c r="K213" s="10"/>
      <c r="L213" s="10"/>
      <c r="M213" s="11" t="str">
        <f t="shared" si="3"/>
        <v/>
      </c>
      <c r="N213" s="10"/>
      <c r="O213" s="9"/>
    </row>
    <row r="214" spans="5:15" x14ac:dyDescent="0.3">
      <c r="E214" s="9"/>
      <c r="F214" s="9"/>
      <c r="J214" s="10"/>
      <c r="K214" s="10"/>
      <c r="L214" s="10"/>
      <c r="M214" s="11" t="str">
        <f t="shared" si="3"/>
        <v/>
      </c>
      <c r="N214" s="10"/>
      <c r="O214" s="9"/>
    </row>
    <row r="215" spans="5:15" x14ac:dyDescent="0.3">
      <c r="E215" s="9"/>
      <c r="F215" s="9"/>
      <c r="J215" s="10"/>
      <c r="K215" s="10"/>
      <c r="L215" s="10"/>
      <c r="M215" s="11" t="str">
        <f t="shared" si="3"/>
        <v/>
      </c>
      <c r="N215" s="10"/>
      <c r="O215" s="9"/>
    </row>
    <row r="216" spans="5:15" x14ac:dyDescent="0.3">
      <c r="E216" s="9"/>
      <c r="F216" s="9"/>
      <c r="J216" s="10"/>
      <c r="K216" s="10"/>
      <c r="L216" s="10"/>
      <c r="M216" s="11" t="str">
        <f t="shared" si="3"/>
        <v/>
      </c>
      <c r="N216" s="10"/>
      <c r="O216" s="9"/>
    </row>
    <row r="217" spans="5:15" x14ac:dyDescent="0.3">
      <c r="E217" s="9"/>
      <c r="F217" s="9"/>
      <c r="J217" s="10"/>
      <c r="K217" s="10"/>
      <c r="L217" s="10"/>
      <c r="M217" s="11" t="str">
        <f t="shared" si="3"/>
        <v/>
      </c>
      <c r="N217" s="10"/>
      <c r="O217" s="9"/>
    </row>
    <row r="218" spans="5:15" x14ac:dyDescent="0.3">
      <c r="E218" s="9"/>
      <c r="F218" s="9"/>
      <c r="J218" s="10"/>
      <c r="K218" s="10"/>
      <c r="L218" s="10"/>
      <c r="M218" s="11" t="str">
        <f t="shared" si="3"/>
        <v/>
      </c>
      <c r="N218" s="10"/>
      <c r="O218" s="9"/>
    </row>
    <row r="219" spans="5:15" x14ac:dyDescent="0.3">
      <c r="E219" s="9"/>
      <c r="F219" s="9"/>
      <c r="J219" s="10"/>
      <c r="K219" s="10"/>
      <c r="L219" s="10"/>
      <c r="M219" s="11" t="str">
        <f t="shared" si="3"/>
        <v/>
      </c>
      <c r="N219" s="10"/>
      <c r="O219" s="9"/>
    </row>
    <row r="220" spans="5:15" x14ac:dyDescent="0.3">
      <c r="E220" s="9"/>
      <c r="F220" s="9"/>
      <c r="J220" s="10"/>
      <c r="K220" s="10"/>
      <c r="L220" s="10"/>
      <c r="M220" s="11" t="str">
        <f t="shared" si="3"/>
        <v/>
      </c>
      <c r="N220" s="10"/>
      <c r="O220" s="9"/>
    </row>
    <row r="221" spans="5:15" x14ac:dyDescent="0.3">
      <c r="E221" s="9"/>
      <c r="F221" s="9"/>
      <c r="J221" s="10"/>
      <c r="K221" s="10"/>
      <c r="L221" s="10"/>
      <c r="M221" s="11" t="str">
        <f t="shared" si="3"/>
        <v/>
      </c>
      <c r="N221" s="10"/>
      <c r="O221" s="9"/>
    </row>
    <row r="222" spans="5:15" x14ac:dyDescent="0.3">
      <c r="E222" s="9"/>
      <c r="F222" s="9"/>
      <c r="J222" s="10"/>
      <c r="K222" s="10"/>
      <c r="L222" s="10"/>
      <c r="M222" s="11" t="str">
        <f t="shared" si="3"/>
        <v/>
      </c>
      <c r="N222" s="10"/>
      <c r="O222" s="9"/>
    </row>
    <row r="223" spans="5:15" x14ac:dyDescent="0.3">
      <c r="E223" s="9"/>
      <c r="F223" s="9"/>
      <c r="J223" s="10"/>
      <c r="K223" s="10"/>
      <c r="L223" s="10"/>
      <c r="M223" s="11" t="str">
        <f t="shared" si="3"/>
        <v/>
      </c>
      <c r="N223" s="10"/>
      <c r="O223" s="9"/>
    </row>
    <row r="224" spans="5:15" x14ac:dyDescent="0.3">
      <c r="E224" s="9"/>
      <c r="F224" s="9"/>
      <c r="J224" s="10"/>
      <c r="K224" s="10"/>
      <c r="L224" s="10"/>
      <c r="M224" s="11" t="str">
        <f t="shared" si="3"/>
        <v/>
      </c>
      <c r="N224" s="10"/>
      <c r="O224" s="9"/>
    </row>
    <row r="225" spans="5:15" x14ac:dyDescent="0.3">
      <c r="E225" s="9"/>
      <c r="F225" s="9"/>
      <c r="J225" s="10"/>
      <c r="K225" s="10"/>
      <c r="L225" s="10"/>
      <c r="M225" s="11" t="str">
        <f t="shared" si="3"/>
        <v/>
      </c>
      <c r="N225" s="10"/>
      <c r="O225" s="9"/>
    </row>
    <row r="226" spans="5:15" x14ac:dyDescent="0.3">
      <c r="E226" s="9"/>
      <c r="F226" s="9"/>
      <c r="J226" s="10"/>
      <c r="K226" s="10"/>
      <c r="L226" s="10"/>
      <c r="M226" s="11" t="str">
        <f t="shared" si="3"/>
        <v/>
      </c>
      <c r="N226" s="10"/>
      <c r="O226" s="9"/>
    </row>
    <row r="227" spans="5:15" x14ac:dyDescent="0.3">
      <c r="E227" s="9"/>
      <c r="F227" s="9"/>
      <c r="J227" s="10"/>
      <c r="K227" s="10"/>
      <c r="L227" s="10"/>
      <c r="M227" s="11" t="str">
        <f t="shared" si="3"/>
        <v/>
      </c>
      <c r="N227" s="10"/>
      <c r="O227" s="9"/>
    </row>
    <row r="228" spans="5:15" x14ac:dyDescent="0.3">
      <c r="E228" s="9"/>
      <c r="F228" s="9"/>
      <c r="J228" s="10"/>
      <c r="K228" s="10"/>
      <c r="L228" s="10"/>
      <c r="M228" s="11" t="str">
        <f t="shared" si="3"/>
        <v/>
      </c>
      <c r="N228" s="10"/>
      <c r="O228" s="9"/>
    </row>
    <row r="229" spans="5:15" x14ac:dyDescent="0.3">
      <c r="E229" s="9"/>
      <c r="F229" s="9"/>
      <c r="J229" s="10"/>
      <c r="K229" s="10"/>
      <c r="L229" s="10"/>
      <c r="M229" s="11" t="str">
        <f t="shared" si="3"/>
        <v/>
      </c>
      <c r="N229" s="10"/>
      <c r="O229" s="9"/>
    </row>
    <row r="230" spans="5:15" x14ac:dyDescent="0.3">
      <c r="E230" s="9"/>
      <c r="F230" s="9"/>
      <c r="J230" s="10"/>
      <c r="K230" s="10"/>
      <c r="L230" s="10"/>
      <c r="M230" s="11" t="str">
        <f t="shared" si="3"/>
        <v/>
      </c>
      <c r="N230" s="10"/>
      <c r="O230" s="9"/>
    </row>
    <row r="231" spans="5:15" x14ac:dyDescent="0.3">
      <c r="E231" s="9"/>
      <c r="F231" s="9"/>
      <c r="J231" s="10"/>
      <c r="K231" s="10"/>
      <c r="L231" s="10"/>
      <c r="M231" s="11" t="str">
        <f t="shared" si="3"/>
        <v/>
      </c>
      <c r="N231" s="10"/>
      <c r="O231" s="9"/>
    </row>
    <row r="232" spans="5:15" x14ac:dyDescent="0.3">
      <c r="E232" s="9"/>
      <c r="F232" s="9"/>
      <c r="J232" s="10"/>
      <c r="K232" s="10"/>
      <c r="L232" s="10"/>
      <c r="M232" s="11" t="str">
        <f t="shared" si="3"/>
        <v/>
      </c>
      <c r="N232" s="10"/>
      <c r="O232" s="9"/>
    </row>
    <row r="233" spans="5:15" x14ac:dyDescent="0.3">
      <c r="E233" s="9"/>
      <c r="F233" s="9"/>
      <c r="J233" s="10"/>
      <c r="K233" s="10"/>
      <c r="L233" s="10"/>
      <c r="M233" s="11" t="str">
        <f t="shared" si="3"/>
        <v/>
      </c>
      <c r="N233" s="10"/>
      <c r="O233" s="9"/>
    </row>
    <row r="234" spans="5:15" x14ac:dyDescent="0.3">
      <c r="E234" s="9"/>
      <c r="F234" s="9"/>
      <c r="J234" s="10"/>
      <c r="K234" s="10"/>
      <c r="L234" s="10"/>
      <c r="M234" s="11" t="str">
        <f t="shared" si="3"/>
        <v/>
      </c>
      <c r="N234" s="10"/>
      <c r="O234" s="9"/>
    </row>
    <row r="235" spans="5:15" x14ac:dyDescent="0.3">
      <c r="E235" s="9"/>
      <c r="F235" s="9"/>
      <c r="J235" s="10"/>
      <c r="K235" s="10"/>
      <c r="L235" s="10"/>
      <c r="M235" s="11" t="str">
        <f t="shared" si="3"/>
        <v/>
      </c>
      <c r="N235" s="10"/>
      <c r="O235" s="9"/>
    </row>
    <row r="236" spans="5:15" x14ac:dyDescent="0.3">
      <c r="E236" s="9"/>
      <c r="F236" s="9"/>
      <c r="J236" s="10"/>
      <c r="K236" s="10"/>
      <c r="L236" s="10"/>
      <c r="M236" s="11" t="str">
        <f t="shared" si="3"/>
        <v/>
      </c>
      <c r="N236" s="10"/>
      <c r="O236" s="9"/>
    </row>
    <row r="237" spans="5:15" x14ac:dyDescent="0.3">
      <c r="E237" s="9"/>
      <c r="F237" s="9"/>
      <c r="J237" s="10"/>
      <c r="K237" s="10"/>
      <c r="L237" s="10"/>
      <c r="M237" s="11" t="str">
        <f t="shared" si="3"/>
        <v/>
      </c>
      <c r="N237" s="10"/>
      <c r="O237" s="9"/>
    </row>
    <row r="238" spans="5:15" x14ac:dyDescent="0.3">
      <c r="E238" s="9"/>
      <c r="F238" s="9"/>
      <c r="J238" s="10"/>
      <c r="K238" s="10"/>
      <c r="L238" s="10"/>
      <c r="M238" s="11" t="str">
        <f t="shared" si="3"/>
        <v/>
      </c>
      <c r="N238" s="10"/>
      <c r="O238" s="9"/>
    </row>
    <row r="239" spans="5:15" x14ac:dyDescent="0.3">
      <c r="E239" s="9"/>
      <c r="F239" s="9"/>
      <c r="J239" s="10"/>
      <c r="K239" s="10"/>
      <c r="L239" s="10"/>
      <c r="M239" s="11" t="str">
        <f t="shared" si="3"/>
        <v/>
      </c>
      <c r="N239" s="10"/>
      <c r="O239" s="9"/>
    </row>
    <row r="240" spans="5:15" x14ac:dyDescent="0.3">
      <c r="E240" s="9"/>
      <c r="F240" s="9"/>
      <c r="J240" s="10"/>
      <c r="K240" s="10"/>
      <c r="L240" s="10"/>
      <c r="M240" s="11" t="str">
        <f t="shared" si="3"/>
        <v/>
      </c>
      <c r="N240" s="10"/>
      <c r="O240" s="9"/>
    </row>
    <row r="241" spans="5:15" x14ac:dyDescent="0.3">
      <c r="E241" s="9"/>
      <c r="F241" s="9"/>
      <c r="J241" s="10"/>
      <c r="K241" s="10"/>
      <c r="L241" s="10"/>
      <c r="M241" s="11" t="str">
        <f t="shared" si="3"/>
        <v/>
      </c>
      <c r="N241" s="10"/>
      <c r="O241" s="9"/>
    </row>
    <row r="242" spans="5:15" x14ac:dyDescent="0.3">
      <c r="E242" s="9"/>
      <c r="F242" s="9"/>
      <c r="J242" s="10"/>
      <c r="K242" s="10"/>
      <c r="L242" s="10"/>
      <c r="M242" s="11" t="str">
        <f t="shared" si="3"/>
        <v/>
      </c>
      <c r="N242" s="10"/>
      <c r="O242" s="9"/>
    </row>
    <row r="243" spans="5:15" x14ac:dyDescent="0.3">
      <c r="E243" s="9"/>
      <c r="F243" s="9"/>
      <c r="J243" s="10"/>
      <c r="K243" s="10"/>
      <c r="L243" s="10"/>
      <c r="M243" s="11" t="str">
        <f t="shared" si="3"/>
        <v/>
      </c>
      <c r="N243" s="10"/>
      <c r="O243" s="9"/>
    </row>
    <row r="244" spans="5:15" x14ac:dyDescent="0.3">
      <c r="E244" s="9"/>
      <c r="F244" s="9"/>
      <c r="J244" s="10"/>
      <c r="K244" s="10"/>
      <c r="L244" s="10"/>
      <c r="M244" s="11" t="str">
        <f t="shared" si="3"/>
        <v/>
      </c>
      <c r="N244" s="10"/>
      <c r="O244" s="9"/>
    </row>
    <row r="245" spans="5:15" x14ac:dyDescent="0.3">
      <c r="E245" s="9"/>
      <c r="F245" s="9"/>
      <c r="J245" s="10"/>
      <c r="K245" s="10"/>
      <c r="L245" s="10"/>
      <c r="M245" s="11" t="str">
        <f t="shared" si="3"/>
        <v/>
      </c>
      <c r="N245" s="10"/>
      <c r="O245" s="9"/>
    </row>
    <row r="246" spans="5:15" x14ac:dyDescent="0.3">
      <c r="E246" s="9"/>
      <c r="F246" s="9"/>
      <c r="J246" s="10"/>
      <c r="K246" s="10"/>
      <c r="L246" s="10"/>
      <c r="M246" s="11" t="str">
        <f t="shared" si="3"/>
        <v/>
      </c>
      <c r="N246" s="10"/>
      <c r="O246" s="9"/>
    </row>
    <row r="247" spans="5:15" x14ac:dyDescent="0.3">
      <c r="E247" s="9"/>
      <c r="F247" s="9"/>
      <c r="J247" s="10"/>
      <c r="K247" s="10"/>
      <c r="L247" s="10"/>
      <c r="M247" s="11" t="str">
        <f t="shared" si="3"/>
        <v/>
      </c>
      <c r="N247" s="10"/>
      <c r="O247" s="9"/>
    </row>
    <row r="248" spans="5:15" x14ac:dyDescent="0.3">
      <c r="E248" s="9"/>
      <c r="F248" s="9"/>
      <c r="J248" s="10"/>
      <c r="K248" s="10"/>
      <c r="L248" s="10"/>
      <c r="M248" s="11" t="str">
        <f t="shared" si="3"/>
        <v/>
      </c>
      <c r="N248" s="10"/>
      <c r="O248" s="9"/>
    </row>
    <row r="249" spans="5:15" x14ac:dyDescent="0.3">
      <c r="E249" s="9"/>
      <c r="F249" s="9"/>
      <c r="J249" s="10"/>
      <c r="K249" s="10"/>
      <c r="L249" s="10"/>
      <c r="M249" s="11" t="str">
        <f t="shared" si="3"/>
        <v/>
      </c>
      <c r="N249" s="10"/>
      <c r="O249" s="9"/>
    </row>
    <row r="250" spans="5:15" x14ac:dyDescent="0.3">
      <c r="E250" s="9"/>
      <c r="F250" s="9"/>
      <c r="J250" s="10"/>
      <c r="K250" s="10"/>
      <c r="L250" s="10"/>
      <c r="M250" s="11" t="str">
        <f t="shared" si="3"/>
        <v/>
      </c>
      <c r="N250" s="10"/>
      <c r="O250" s="9"/>
    </row>
    <row r="251" spans="5:15" x14ac:dyDescent="0.3">
      <c r="E251" s="9"/>
      <c r="F251" s="9"/>
      <c r="J251" s="10"/>
      <c r="K251" s="10"/>
      <c r="L251" s="10"/>
      <c r="M251" s="11" t="str">
        <f t="shared" si="3"/>
        <v/>
      </c>
      <c r="N251" s="10"/>
      <c r="O251" s="9"/>
    </row>
    <row r="252" spans="5:15" x14ac:dyDescent="0.3">
      <c r="E252" s="9"/>
      <c r="F252" s="9"/>
      <c r="J252" s="10"/>
      <c r="K252" s="10"/>
      <c r="L252" s="10"/>
      <c r="M252" s="11" t="str">
        <f t="shared" si="3"/>
        <v/>
      </c>
      <c r="N252" s="10"/>
      <c r="O252" s="9"/>
    </row>
    <row r="253" spans="5:15" x14ac:dyDescent="0.3">
      <c r="E253" s="9"/>
      <c r="F253" s="9"/>
      <c r="J253" s="10"/>
      <c r="K253" s="10"/>
      <c r="L253" s="10"/>
      <c r="M253" s="11" t="str">
        <f t="shared" si="3"/>
        <v/>
      </c>
      <c r="N253" s="10"/>
      <c r="O253" s="9"/>
    </row>
    <row r="254" spans="5:15" x14ac:dyDescent="0.3">
      <c r="E254" s="9"/>
      <c r="F254" s="9"/>
      <c r="J254" s="10"/>
      <c r="K254" s="10"/>
      <c r="L254" s="10"/>
      <c r="M254" s="11" t="str">
        <f t="shared" si="3"/>
        <v/>
      </c>
      <c r="N254" s="10"/>
      <c r="O254" s="9"/>
    </row>
    <row r="255" spans="5:15" x14ac:dyDescent="0.3">
      <c r="E255" s="9"/>
      <c r="F255" s="9"/>
      <c r="J255" s="10"/>
      <c r="K255" s="10"/>
      <c r="L255" s="10"/>
      <c r="M255" s="11" t="str">
        <f t="shared" si="3"/>
        <v/>
      </c>
      <c r="N255" s="10"/>
      <c r="O255" s="9"/>
    </row>
    <row r="256" spans="5:15" x14ac:dyDescent="0.3">
      <c r="E256" s="9"/>
      <c r="F256" s="9"/>
      <c r="J256" s="10"/>
      <c r="K256" s="10"/>
      <c r="L256" s="10"/>
      <c r="M256" s="11" t="str">
        <f t="shared" si="3"/>
        <v/>
      </c>
      <c r="N256" s="10"/>
      <c r="O256" s="9"/>
    </row>
    <row r="257" spans="5:15" x14ac:dyDescent="0.3">
      <c r="E257" s="9"/>
      <c r="F257" s="9"/>
      <c r="J257" s="10"/>
      <c r="K257" s="10"/>
      <c r="L257" s="10"/>
      <c r="M257" s="11" t="str">
        <f t="shared" si="3"/>
        <v/>
      </c>
      <c r="N257" s="10"/>
      <c r="O257" s="9"/>
    </row>
    <row r="258" spans="5:15" x14ac:dyDescent="0.3">
      <c r="E258" s="9"/>
      <c r="F258" s="9"/>
      <c r="J258" s="10"/>
      <c r="K258" s="10"/>
      <c r="L258" s="10"/>
      <c r="M258" s="11" t="str">
        <f t="shared" ref="M258:M321" si="4">IF($B258="","",IF($D258="Flasche",IF(N($J258)=0,"",$F258/$J258),$F258))</f>
        <v/>
      </c>
      <c r="N258" s="10"/>
      <c r="O258" s="9"/>
    </row>
    <row r="259" spans="5:15" x14ac:dyDescent="0.3">
      <c r="E259" s="9"/>
      <c r="F259" s="9"/>
      <c r="J259" s="10"/>
      <c r="K259" s="10"/>
      <c r="L259" s="10"/>
      <c r="M259" s="11" t="str">
        <f t="shared" si="4"/>
        <v/>
      </c>
      <c r="N259" s="10"/>
      <c r="O259" s="9"/>
    </row>
    <row r="260" spans="5:15" x14ac:dyDescent="0.3">
      <c r="E260" s="9"/>
      <c r="F260" s="9"/>
      <c r="J260" s="10"/>
      <c r="K260" s="10"/>
      <c r="L260" s="10"/>
      <c r="M260" s="11" t="str">
        <f t="shared" si="4"/>
        <v/>
      </c>
      <c r="N260" s="10"/>
      <c r="O260" s="9"/>
    </row>
    <row r="261" spans="5:15" x14ac:dyDescent="0.3">
      <c r="E261" s="9"/>
      <c r="F261" s="9"/>
      <c r="J261" s="10"/>
      <c r="K261" s="10"/>
      <c r="L261" s="10"/>
      <c r="M261" s="11" t="str">
        <f t="shared" si="4"/>
        <v/>
      </c>
      <c r="N261" s="10"/>
      <c r="O261" s="9"/>
    </row>
    <row r="262" spans="5:15" x14ac:dyDescent="0.3">
      <c r="E262" s="9"/>
      <c r="F262" s="9"/>
      <c r="J262" s="10"/>
      <c r="K262" s="10"/>
      <c r="L262" s="10"/>
      <c r="M262" s="11" t="str">
        <f t="shared" si="4"/>
        <v/>
      </c>
      <c r="N262" s="10"/>
      <c r="O262" s="9"/>
    </row>
    <row r="263" spans="5:15" x14ac:dyDescent="0.3">
      <c r="E263" s="9"/>
      <c r="F263" s="9"/>
      <c r="J263" s="10"/>
      <c r="K263" s="10"/>
      <c r="L263" s="10"/>
      <c r="M263" s="11" t="str">
        <f t="shared" si="4"/>
        <v/>
      </c>
      <c r="N263" s="10"/>
      <c r="O263" s="9"/>
    </row>
    <row r="264" spans="5:15" x14ac:dyDescent="0.3">
      <c r="E264" s="9"/>
      <c r="F264" s="9"/>
      <c r="J264" s="10"/>
      <c r="K264" s="10"/>
      <c r="L264" s="10"/>
      <c r="M264" s="11" t="str">
        <f t="shared" si="4"/>
        <v/>
      </c>
      <c r="N264" s="10"/>
      <c r="O264" s="9"/>
    </row>
    <row r="265" spans="5:15" x14ac:dyDescent="0.3">
      <c r="E265" s="9"/>
      <c r="F265" s="9"/>
      <c r="J265" s="10"/>
      <c r="K265" s="10"/>
      <c r="L265" s="10"/>
      <c r="M265" s="11" t="str">
        <f t="shared" si="4"/>
        <v/>
      </c>
      <c r="N265" s="10"/>
      <c r="O265" s="9"/>
    </row>
    <row r="266" spans="5:15" x14ac:dyDescent="0.3">
      <c r="E266" s="9"/>
      <c r="F266" s="9"/>
      <c r="J266" s="10"/>
      <c r="K266" s="10"/>
      <c r="L266" s="10"/>
      <c r="M266" s="11" t="str">
        <f t="shared" si="4"/>
        <v/>
      </c>
      <c r="N266" s="10"/>
      <c r="O266" s="9"/>
    </row>
    <row r="267" spans="5:15" x14ac:dyDescent="0.3">
      <c r="E267" s="9"/>
      <c r="F267" s="9"/>
      <c r="J267" s="10"/>
      <c r="K267" s="10"/>
      <c r="L267" s="10"/>
      <c r="M267" s="11" t="str">
        <f t="shared" si="4"/>
        <v/>
      </c>
      <c r="N267" s="10"/>
      <c r="O267" s="9"/>
    </row>
    <row r="268" spans="5:15" x14ac:dyDescent="0.3">
      <c r="E268" s="9"/>
      <c r="F268" s="9"/>
      <c r="J268" s="10"/>
      <c r="K268" s="10"/>
      <c r="L268" s="10"/>
      <c r="M268" s="11" t="str">
        <f t="shared" si="4"/>
        <v/>
      </c>
      <c r="N268" s="10"/>
      <c r="O268" s="9"/>
    </row>
    <row r="269" spans="5:15" x14ac:dyDescent="0.3">
      <c r="E269" s="9"/>
      <c r="F269" s="9"/>
      <c r="J269" s="10"/>
      <c r="K269" s="10"/>
      <c r="L269" s="10"/>
      <c r="M269" s="11" t="str">
        <f t="shared" si="4"/>
        <v/>
      </c>
      <c r="N269" s="10"/>
      <c r="O269" s="9"/>
    </row>
    <row r="270" spans="5:15" x14ac:dyDescent="0.3">
      <c r="E270" s="9"/>
      <c r="F270" s="9"/>
      <c r="J270" s="10"/>
      <c r="K270" s="10"/>
      <c r="L270" s="10"/>
      <c r="M270" s="11" t="str">
        <f t="shared" si="4"/>
        <v/>
      </c>
      <c r="N270" s="10"/>
      <c r="O270" s="9"/>
    </row>
    <row r="271" spans="5:15" x14ac:dyDescent="0.3">
      <c r="E271" s="9"/>
      <c r="F271" s="9"/>
      <c r="J271" s="10"/>
      <c r="K271" s="10"/>
      <c r="L271" s="10"/>
      <c r="M271" s="11" t="str">
        <f t="shared" si="4"/>
        <v/>
      </c>
      <c r="N271" s="10"/>
      <c r="O271" s="9"/>
    </row>
    <row r="272" spans="5:15" x14ac:dyDescent="0.3">
      <c r="E272" s="9"/>
      <c r="F272" s="9"/>
      <c r="J272" s="10"/>
      <c r="K272" s="10"/>
      <c r="L272" s="10"/>
      <c r="M272" s="11" t="str">
        <f t="shared" si="4"/>
        <v/>
      </c>
      <c r="N272" s="10"/>
      <c r="O272" s="9"/>
    </row>
    <row r="273" spans="5:15" x14ac:dyDescent="0.3">
      <c r="E273" s="9"/>
      <c r="F273" s="9"/>
      <c r="J273" s="10"/>
      <c r="K273" s="10"/>
      <c r="L273" s="10"/>
      <c r="M273" s="11" t="str">
        <f t="shared" si="4"/>
        <v/>
      </c>
      <c r="N273" s="10"/>
      <c r="O273" s="9"/>
    </row>
    <row r="274" spans="5:15" x14ac:dyDescent="0.3">
      <c r="E274" s="9"/>
      <c r="F274" s="9"/>
      <c r="J274" s="10"/>
      <c r="K274" s="10"/>
      <c r="L274" s="10"/>
      <c r="M274" s="11" t="str">
        <f t="shared" si="4"/>
        <v/>
      </c>
      <c r="N274" s="10"/>
      <c r="O274" s="9"/>
    </row>
    <row r="275" spans="5:15" x14ac:dyDescent="0.3">
      <c r="E275" s="9"/>
      <c r="F275" s="9"/>
      <c r="J275" s="10"/>
      <c r="K275" s="10"/>
      <c r="L275" s="10"/>
      <c r="M275" s="11" t="str">
        <f t="shared" si="4"/>
        <v/>
      </c>
      <c r="N275" s="10"/>
      <c r="O275" s="9"/>
    </row>
    <row r="276" spans="5:15" x14ac:dyDescent="0.3">
      <c r="E276" s="9"/>
      <c r="F276" s="9"/>
      <c r="J276" s="10"/>
      <c r="K276" s="10"/>
      <c r="L276" s="10"/>
      <c r="M276" s="11" t="str">
        <f t="shared" si="4"/>
        <v/>
      </c>
      <c r="N276" s="10"/>
      <c r="O276" s="9"/>
    </row>
    <row r="277" spans="5:15" x14ac:dyDescent="0.3">
      <c r="E277" s="9"/>
      <c r="F277" s="9"/>
      <c r="J277" s="10"/>
      <c r="K277" s="10"/>
      <c r="L277" s="10"/>
      <c r="M277" s="11" t="str">
        <f t="shared" si="4"/>
        <v/>
      </c>
      <c r="N277" s="10"/>
      <c r="O277" s="9"/>
    </row>
    <row r="278" spans="5:15" x14ac:dyDescent="0.3">
      <c r="E278" s="9"/>
      <c r="F278" s="9"/>
      <c r="J278" s="10"/>
      <c r="K278" s="10"/>
      <c r="L278" s="10"/>
      <c r="M278" s="11" t="str">
        <f t="shared" si="4"/>
        <v/>
      </c>
      <c r="N278" s="10"/>
      <c r="O278" s="9"/>
    </row>
    <row r="279" spans="5:15" x14ac:dyDescent="0.3">
      <c r="E279" s="9"/>
      <c r="F279" s="9"/>
      <c r="J279" s="10"/>
      <c r="K279" s="10"/>
      <c r="L279" s="10"/>
      <c r="M279" s="11" t="str">
        <f t="shared" si="4"/>
        <v/>
      </c>
      <c r="N279" s="10"/>
      <c r="O279" s="9"/>
    </row>
    <row r="280" spans="5:15" x14ac:dyDescent="0.3">
      <c r="E280" s="9"/>
      <c r="F280" s="9"/>
      <c r="J280" s="10"/>
      <c r="K280" s="10"/>
      <c r="L280" s="10"/>
      <c r="M280" s="11" t="str">
        <f t="shared" si="4"/>
        <v/>
      </c>
      <c r="N280" s="10"/>
      <c r="O280" s="9"/>
    </row>
    <row r="281" spans="5:15" x14ac:dyDescent="0.3">
      <c r="E281" s="9"/>
      <c r="F281" s="9"/>
      <c r="J281" s="10"/>
      <c r="K281" s="10"/>
      <c r="L281" s="10"/>
      <c r="M281" s="11" t="str">
        <f t="shared" si="4"/>
        <v/>
      </c>
      <c r="N281" s="10"/>
      <c r="O281" s="9"/>
    </row>
    <row r="282" spans="5:15" x14ac:dyDescent="0.3">
      <c r="E282" s="9"/>
      <c r="F282" s="9"/>
      <c r="J282" s="10"/>
      <c r="K282" s="10"/>
      <c r="L282" s="10"/>
      <c r="M282" s="11" t="str">
        <f t="shared" si="4"/>
        <v/>
      </c>
      <c r="N282" s="10"/>
      <c r="O282" s="9"/>
    </row>
    <row r="283" spans="5:15" x14ac:dyDescent="0.3">
      <c r="E283" s="9"/>
      <c r="F283" s="9"/>
      <c r="J283" s="10"/>
      <c r="K283" s="10"/>
      <c r="L283" s="10"/>
      <c r="M283" s="11" t="str">
        <f t="shared" si="4"/>
        <v/>
      </c>
      <c r="N283" s="10"/>
      <c r="O283" s="9"/>
    </row>
    <row r="284" spans="5:15" x14ac:dyDescent="0.3">
      <c r="E284" s="9"/>
      <c r="F284" s="9"/>
      <c r="J284" s="10"/>
      <c r="K284" s="10"/>
      <c r="L284" s="10"/>
      <c r="M284" s="11" t="str">
        <f t="shared" si="4"/>
        <v/>
      </c>
      <c r="N284" s="10"/>
      <c r="O284" s="9"/>
    </row>
    <row r="285" spans="5:15" x14ac:dyDescent="0.3">
      <c r="E285" s="9"/>
      <c r="F285" s="9"/>
      <c r="J285" s="10"/>
      <c r="K285" s="10"/>
      <c r="L285" s="10"/>
      <c r="M285" s="11" t="str">
        <f t="shared" si="4"/>
        <v/>
      </c>
      <c r="N285" s="10"/>
      <c r="O285" s="9"/>
    </row>
    <row r="286" spans="5:15" x14ac:dyDescent="0.3">
      <c r="E286" s="9"/>
      <c r="F286" s="9"/>
      <c r="J286" s="10"/>
      <c r="K286" s="10"/>
      <c r="L286" s="10"/>
      <c r="M286" s="11" t="str">
        <f t="shared" si="4"/>
        <v/>
      </c>
      <c r="N286" s="10"/>
      <c r="O286" s="9"/>
    </row>
    <row r="287" spans="5:15" x14ac:dyDescent="0.3">
      <c r="E287" s="9"/>
      <c r="F287" s="9"/>
      <c r="J287" s="10"/>
      <c r="K287" s="10"/>
      <c r="L287" s="10"/>
      <c r="M287" s="11" t="str">
        <f t="shared" si="4"/>
        <v/>
      </c>
      <c r="N287" s="10"/>
      <c r="O287" s="9"/>
    </row>
    <row r="288" spans="5:15" x14ac:dyDescent="0.3">
      <c r="E288" s="9"/>
      <c r="F288" s="9"/>
      <c r="J288" s="10"/>
      <c r="K288" s="10"/>
      <c r="L288" s="10"/>
      <c r="M288" s="11" t="str">
        <f t="shared" si="4"/>
        <v/>
      </c>
      <c r="N288" s="10"/>
      <c r="O288" s="9"/>
    </row>
    <row r="289" spans="5:15" x14ac:dyDescent="0.3">
      <c r="E289" s="9"/>
      <c r="F289" s="9"/>
      <c r="J289" s="10"/>
      <c r="K289" s="10"/>
      <c r="L289" s="10"/>
      <c r="M289" s="11" t="str">
        <f t="shared" si="4"/>
        <v/>
      </c>
      <c r="N289" s="10"/>
      <c r="O289" s="9"/>
    </row>
    <row r="290" spans="5:15" x14ac:dyDescent="0.3">
      <c r="E290" s="9"/>
      <c r="F290" s="9"/>
      <c r="J290" s="10"/>
      <c r="K290" s="10"/>
      <c r="L290" s="10"/>
      <c r="M290" s="11" t="str">
        <f t="shared" si="4"/>
        <v/>
      </c>
      <c r="N290" s="10"/>
      <c r="O290" s="9"/>
    </row>
    <row r="291" spans="5:15" x14ac:dyDescent="0.3">
      <c r="E291" s="9"/>
      <c r="F291" s="9"/>
      <c r="J291" s="10"/>
      <c r="K291" s="10"/>
      <c r="L291" s="10"/>
      <c r="M291" s="11" t="str">
        <f t="shared" si="4"/>
        <v/>
      </c>
      <c r="N291" s="10"/>
      <c r="O291" s="9"/>
    </row>
    <row r="292" spans="5:15" x14ac:dyDescent="0.3">
      <c r="E292" s="9"/>
      <c r="F292" s="9"/>
      <c r="J292" s="10"/>
      <c r="K292" s="10"/>
      <c r="L292" s="10"/>
      <c r="M292" s="11" t="str">
        <f t="shared" si="4"/>
        <v/>
      </c>
      <c r="N292" s="10"/>
      <c r="O292" s="9"/>
    </row>
    <row r="293" spans="5:15" x14ac:dyDescent="0.3">
      <c r="E293" s="9"/>
      <c r="F293" s="9"/>
      <c r="J293" s="10"/>
      <c r="K293" s="10"/>
      <c r="L293" s="10"/>
      <c r="M293" s="11" t="str">
        <f t="shared" si="4"/>
        <v/>
      </c>
      <c r="N293" s="10"/>
      <c r="O293" s="9"/>
    </row>
    <row r="294" spans="5:15" x14ac:dyDescent="0.3">
      <c r="E294" s="9"/>
      <c r="F294" s="9"/>
      <c r="J294" s="10"/>
      <c r="K294" s="10"/>
      <c r="L294" s="10"/>
      <c r="M294" s="11" t="str">
        <f t="shared" si="4"/>
        <v/>
      </c>
      <c r="N294" s="10"/>
      <c r="O294" s="9"/>
    </row>
    <row r="295" spans="5:15" x14ac:dyDescent="0.3">
      <c r="E295" s="9"/>
      <c r="F295" s="9"/>
      <c r="J295" s="10"/>
      <c r="K295" s="10"/>
      <c r="L295" s="10"/>
      <c r="M295" s="11" t="str">
        <f t="shared" si="4"/>
        <v/>
      </c>
      <c r="N295" s="10"/>
      <c r="O295" s="9"/>
    </row>
    <row r="296" spans="5:15" x14ac:dyDescent="0.3">
      <c r="E296" s="9"/>
      <c r="F296" s="9"/>
      <c r="J296" s="10"/>
      <c r="K296" s="10"/>
      <c r="L296" s="10"/>
      <c r="M296" s="11" t="str">
        <f t="shared" si="4"/>
        <v/>
      </c>
      <c r="N296" s="10"/>
      <c r="O296" s="9"/>
    </row>
    <row r="297" spans="5:15" x14ac:dyDescent="0.3">
      <c r="E297" s="9"/>
      <c r="F297" s="9"/>
      <c r="J297" s="10"/>
      <c r="K297" s="10"/>
      <c r="L297" s="10"/>
      <c r="M297" s="11" t="str">
        <f t="shared" si="4"/>
        <v/>
      </c>
      <c r="N297" s="10"/>
      <c r="O297" s="9"/>
    </row>
    <row r="298" spans="5:15" x14ac:dyDescent="0.3">
      <c r="E298" s="9"/>
      <c r="F298" s="9"/>
      <c r="J298" s="10"/>
      <c r="K298" s="10"/>
      <c r="L298" s="10"/>
      <c r="M298" s="11" t="str">
        <f t="shared" si="4"/>
        <v/>
      </c>
      <c r="N298" s="10"/>
      <c r="O298" s="9"/>
    </row>
    <row r="299" spans="5:15" x14ac:dyDescent="0.3">
      <c r="E299" s="9"/>
      <c r="F299" s="9"/>
      <c r="J299" s="10"/>
      <c r="K299" s="10"/>
      <c r="L299" s="10"/>
      <c r="M299" s="11" t="str">
        <f t="shared" si="4"/>
        <v/>
      </c>
      <c r="N299" s="10"/>
      <c r="O299" s="9"/>
    </row>
    <row r="300" spans="5:15" x14ac:dyDescent="0.3">
      <c r="E300" s="9"/>
      <c r="F300" s="9"/>
      <c r="J300" s="10"/>
      <c r="K300" s="10"/>
      <c r="L300" s="10"/>
      <c r="M300" s="11" t="str">
        <f t="shared" si="4"/>
        <v/>
      </c>
      <c r="N300" s="10"/>
      <c r="O300" s="9"/>
    </row>
    <row r="301" spans="5:15" x14ac:dyDescent="0.3">
      <c r="E301" s="9"/>
      <c r="F301" s="9"/>
      <c r="J301" s="10"/>
      <c r="K301" s="10"/>
      <c r="L301" s="10"/>
      <c r="M301" s="11" t="str">
        <f t="shared" si="4"/>
        <v/>
      </c>
      <c r="N301" s="10"/>
      <c r="O301" s="9"/>
    </row>
    <row r="302" spans="5:15" x14ac:dyDescent="0.3">
      <c r="E302" s="9"/>
      <c r="F302" s="9"/>
      <c r="J302" s="10"/>
      <c r="K302" s="10"/>
      <c r="L302" s="10"/>
      <c r="M302" s="11" t="str">
        <f t="shared" si="4"/>
        <v/>
      </c>
      <c r="N302" s="10"/>
      <c r="O302" s="9"/>
    </row>
    <row r="303" spans="5:15" x14ac:dyDescent="0.3">
      <c r="E303" s="9"/>
      <c r="F303" s="9"/>
      <c r="J303" s="10"/>
      <c r="K303" s="10"/>
      <c r="L303" s="10"/>
      <c r="M303" s="11" t="str">
        <f t="shared" si="4"/>
        <v/>
      </c>
      <c r="N303" s="10"/>
      <c r="O303" s="9"/>
    </row>
    <row r="304" spans="5:15" x14ac:dyDescent="0.3">
      <c r="E304" s="9"/>
      <c r="F304" s="9"/>
      <c r="J304" s="10"/>
      <c r="K304" s="10"/>
      <c r="L304" s="10"/>
      <c r="M304" s="11" t="str">
        <f t="shared" si="4"/>
        <v/>
      </c>
      <c r="N304" s="10"/>
      <c r="O304" s="9"/>
    </row>
    <row r="305" spans="5:15" x14ac:dyDescent="0.3">
      <c r="E305" s="9"/>
      <c r="F305" s="9"/>
      <c r="J305" s="10"/>
      <c r="K305" s="10"/>
      <c r="L305" s="10"/>
      <c r="M305" s="11" t="str">
        <f t="shared" si="4"/>
        <v/>
      </c>
      <c r="N305" s="10"/>
      <c r="O305" s="9"/>
    </row>
    <row r="306" spans="5:15" x14ac:dyDescent="0.3">
      <c r="E306" s="9"/>
      <c r="F306" s="9"/>
      <c r="J306" s="10"/>
      <c r="K306" s="10"/>
      <c r="L306" s="10"/>
      <c r="M306" s="11" t="str">
        <f t="shared" si="4"/>
        <v/>
      </c>
      <c r="N306" s="10"/>
      <c r="O306" s="9"/>
    </row>
    <row r="307" spans="5:15" x14ac:dyDescent="0.3">
      <c r="E307" s="9"/>
      <c r="F307" s="9"/>
      <c r="J307" s="10"/>
      <c r="K307" s="10"/>
      <c r="L307" s="10"/>
      <c r="M307" s="11" t="str">
        <f t="shared" si="4"/>
        <v/>
      </c>
      <c r="N307" s="10"/>
      <c r="O307" s="9"/>
    </row>
    <row r="308" spans="5:15" x14ac:dyDescent="0.3">
      <c r="E308" s="9"/>
      <c r="F308" s="9"/>
      <c r="J308" s="10"/>
      <c r="K308" s="10"/>
      <c r="L308" s="10"/>
      <c r="M308" s="11" t="str">
        <f t="shared" si="4"/>
        <v/>
      </c>
      <c r="N308" s="10"/>
      <c r="O308" s="9"/>
    </row>
    <row r="309" spans="5:15" x14ac:dyDescent="0.3">
      <c r="E309" s="9"/>
      <c r="F309" s="9"/>
      <c r="J309" s="10"/>
      <c r="K309" s="10"/>
      <c r="L309" s="10"/>
      <c r="M309" s="11" t="str">
        <f t="shared" si="4"/>
        <v/>
      </c>
      <c r="N309" s="10"/>
      <c r="O309" s="9"/>
    </row>
    <row r="310" spans="5:15" x14ac:dyDescent="0.3">
      <c r="E310" s="9"/>
      <c r="F310" s="9"/>
      <c r="J310" s="10"/>
      <c r="K310" s="10"/>
      <c r="L310" s="10"/>
      <c r="M310" s="11" t="str">
        <f t="shared" si="4"/>
        <v/>
      </c>
      <c r="N310" s="10"/>
      <c r="O310" s="9"/>
    </row>
    <row r="311" spans="5:15" x14ac:dyDescent="0.3">
      <c r="E311" s="9"/>
      <c r="F311" s="9"/>
      <c r="J311" s="10"/>
      <c r="K311" s="10"/>
      <c r="L311" s="10"/>
      <c r="M311" s="11" t="str">
        <f t="shared" si="4"/>
        <v/>
      </c>
      <c r="N311" s="10"/>
      <c r="O311" s="9"/>
    </row>
    <row r="312" spans="5:15" x14ac:dyDescent="0.3">
      <c r="E312" s="9"/>
      <c r="F312" s="9"/>
      <c r="J312" s="10"/>
      <c r="K312" s="10"/>
      <c r="L312" s="10"/>
      <c r="M312" s="11" t="str">
        <f t="shared" si="4"/>
        <v/>
      </c>
      <c r="N312" s="10"/>
      <c r="O312" s="9"/>
    </row>
    <row r="313" spans="5:15" x14ac:dyDescent="0.3">
      <c r="E313" s="9"/>
      <c r="F313" s="9"/>
      <c r="J313" s="10"/>
      <c r="K313" s="10"/>
      <c r="L313" s="10"/>
      <c r="M313" s="11" t="str">
        <f t="shared" si="4"/>
        <v/>
      </c>
      <c r="N313" s="10"/>
      <c r="O313" s="9"/>
    </row>
    <row r="314" spans="5:15" x14ac:dyDescent="0.3">
      <c r="E314" s="9"/>
      <c r="F314" s="9"/>
      <c r="J314" s="10"/>
      <c r="K314" s="10"/>
      <c r="L314" s="10"/>
      <c r="M314" s="11" t="str">
        <f t="shared" si="4"/>
        <v/>
      </c>
      <c r="N314" s="10"/>
      <c r="O314" s="9"/>
    </row>
    <row r="315" spans="5:15" x14ac:dyDescent="0.3">
      <c r="E315" s="9"/>
      <c r="F315" s="9"/>
      <c r="J315" s="10"/>
      <c r="K315" s="10"/>
      <c r="L315" s="10"/>
      <c r="M315" s="11" t="str">
        <f t="shared" si="4"/>
        <v/>
      </c>
      <c r="N315" s="10"/>
      <c r="O315" s="9"/>
    </row>
    <row r="316" spans="5:15" x14ac:dyDescent="0.3">
      <c r="E316" s="9"/>
      <c r="F316" s="9"/>
      <c r="J316" s="10"/>
      <c r="K316" s="10"/>
      <c r="L316" s="10"/>
      <c r="M316" s="11" t="str">
        <f t="shared" si="4"/>
        <v/>
      </c>
      <c r="N316" s="10"/>
      <c r="O316" s="9"/>
    </row>
    <row r="317" spans="5:15" x14ac:dyDescent="0.3">
      <c r="E317" s="9"/>
      <c r="F317" s="9"/>
      <c r="J317" s="10"/>
      <c r="K317" s="10"/>
      <c r="L317" s="10"/>
      <c r="M317" s="11" t="str">
        <f t="shared" si="4"/>
        <v/>
      </c>
      <c r="N317" s="10"/>
      <c r="O317" s="9"/>
    </row>
    <row r="318" spans="5:15" x14ac:dyDescent="0.3">
      <c r="E318" s="9"/>
      <c r="F318" s="9"/>
      <c r="J318" s="10"/>
      <c r="K318" s="10"/>
      <c r="L318" s="10"/>
      <c r="M318" s="11" t="str">
        <f t="shared" si="4"/>
        <v/>
      </c>
      <c r="N318" s="10"/>
      <c r="O318" s="9"/>
    </row>
    <row r="319" spans="5:15" x14ac:dyDescent="0.3">
      <c r="E319" s="9"/>
      <c r="F319" s="9"/>
      <c r="J319" s="10"/>
      <c r="K319" s="10"/>
      <c r="L319" s="10"/>
      <c r="M319" s="11" t="str">
        <f t="shared" si="4"/>
        <v/>
      </c>
      <c r="N319" s="10"/>
      <c r="O319" s="9"/>
    </row>
    <row r="320" spans="5:15" x14ac:dyDescent="0.3">
      <c r="E320" s="9"/>
      <c r="F320" s="9"/>
      <c r="J320" s="10"/>
      <c r="K320" s="10"/>
      <c r="L320" s="10"/>
      <c r="M320" s="11" t="str">
        <f t="shared" si="4"/>
        <v/>
      </c>
      <c r="N320" s="10"/>
      <c r="O320" s="9"/>
    </row>
    <row r="321" spans="5:15" x14ac:dyDescent="0.3">
      <c r="E321" s="9"/>
      <c r="F321" s="9"/>
      <c r="J321" s="10"/>
      <c r="K321" s="10"/>
      <c r="L321" s="10"/>
      <c r="M321" s="11" t="str">
        <f t="shared" si="4"/>
        <v/>
      </c>
      <c r="N321" s="10"/>
      <c r="O321" s="9"/>
    </row>
    <row r="322" spans="5:15" x14ac:dyDescent="0.3">
      <c r="E322" s="9"/>
      <c r="F322" s="9"/>
      <c r="J322" s="10"/>
      <c r="K322" s="10"/>
      <c r="L322" s="10"/>
      <c r="M322" s="11" t="str">
        <f t="shared" ref="M322:M385" si="5">IF($B322="","",IF($D322="Flasche",IF(N($J322)=0,"",$F322/$J322),$F322))</f>
        <v/>
      </c>
      <c r="N322" s="10"/>
      <c r="O322" s="9"/>
    </row>
    <row r="323" spans="5:15" x14ac:dyDescent="0.3">
      <c r="E323" s="9"/>
      <c r="F323" s="9"/>
      <c r="J323" s="10"/>
      <c r="K323" s="10"/>
      <c r="L323" s="10"/>
      <c r="M323" s="11" t="str">
        <f t="shared" si="5"/>
        <v/>
      </c>
      <c r="N323" s="10"/>
      <c r="O323" s="9"/>
    </row>
    <row r="324" spans="5:15" x14ac:dyDescent="0.3">
      <c r="E324" s="9"/>
      <c r="F324" s="9"/>
      <c r="J324" s="10"/>
      <c r="K324" s="10"/>
      <c r="L324" s="10"/>
      <c r="M324" s="11" t="str">
        <f t="shared" si="5"/>
        <v/>
      </c>
      <c r="N324" s="10"/>
      <c r="O324" s="9"/>
    </row>
    <row r="325" spans="5:15" x14ac:dyDescent="0.3">
      <c r="E325" s="9"/>
      <c r="F325" s="9"/>
      <c r="J325" s="10"/>
      <c r="K325" s="10"/>
      <c r="L325" s="10"/>
      <c r="M325" s="11" t="str">
        <f t="shared" si="5"/>
        <v/>
      </c>
      <c r="N325" s="10"/>
      <c r="O325" s="9"/>
    </row>
    <row r="326" spans="5:15" x14ac:dyDescent="0.3">
      <c r="E326" s="9"/>
      <c r="F326" s="9"/>
      <c r="J326" s="10"/>
      <c r="K326" s="10"/>
      <c r="L326" s="10"/>
      <c r="M326" s="11" t="str">
        <f t="shared" si="5"/>
        <v/>
      </c>
      <c r="N326" s="10"/>
      <c r="O326" s="9"/>
    </row>
    <row r="327" spans="5:15" x14ac:dyDescent="0.3">
      <c r="E327" s="9"/>
      <c r="F327" s="9"/>
      <c r="J327" s="10"/>
      <c r="K327" s="10"/>
      <c r="L327" s="10"/>
      <c r="M327" s="11" t="str">
        <f t="shared" si="5"/>
        <v/>
      </c>
      <c r="N327" s="10"/>
      <c r="O327" s="9"/>
    </row>
    <row r="328" spans="5:15" x14ac:dyDescent="0.3">
      <c r="E328" s="9"/>
      <c r="F328" s="9"/>
      <c r="J328" s="10"/>
      <c r="K328" s="10"/>
      <c r="L328" s="10"/>
      <c r="M328" s="11" t="str">
        <f t="shared" si="5"/>
        <v/>
      </c>
      <c r="N328" s="10"/>
      <c r="O328" s="9"/>
    </row>
    <row r="329" spans="5:15" x14ac:dyDescent="0.3">
      <c r="E329" s="9"/>
      <c r="F329" s="9"/>
      <c r="J329" s="10"/>
      <c r="K329" s="10"/>
      <c r="L329" s="10"/>
      <c r="M329" s="11" t="str">
        <f t="shared" si="5"/>
        <v/>
      </c>
      <c r="N329" s="10"/>
      <c r="O329" s="9"/>
    </row>
    <row r="330" spans="5:15" x14ac:dyDescent="0.3">
      <c r="E330" s="9"/>
      <c r="F330" s="9"/>
      <c r="J330" s="10"/>
      <c r="K330" s="10"/>
      <c r="L330" s="10"/>
      <c r="M330" s="11" t="str">
        <f t="shared" si="5"/>
        <v/>
      </c>
      <c r="N330" s="10"/>
      <c r="O330" s="9"/>
    </row>
    <row r="331" spans="5:15" x14ac:dyDescent="0.3">
      <c r="E331" s="9"/>
      <c r="F331" s="9"/>
      <c r="J331" s="10"/>
      <c r="K331" s="10"/>
      <c r="L331" s="10"/>
      <c r="M331" s="11" t="str">
        <f t="shared" si="5"/>
        <v/>
      </c>
      <c r="N331" s="10"/>
      <c r="O331" s="9"/>
    </row>
    <row r="332" spans="5:15" x14ac:dyDescent="0.3">
      <c r="E332" s="9"/>
      <c r="F332" s="9"/>
      <c r="J332" s="10"/>
      <c r="K332" s="10"/>
      <c r="L332" s="10"/>
      <c r="M332" s="11" t="str">
        <f t="shared" si="5"/>
        <v/>
      </c>
      <c r="N332" s="10"/>
      <c r="O332" s="9"/>
    </row>
    <row r="333" spans="5:15" x14ac:dyDescent="0.3">
      <c r="E333" s="9"/>
      <c r="F333" s="9"/>
      <c r="J333" s="10"/>
      <c r="K333" s="10"/>
      <c r="L333" s="10"/>
      <c r="M333" s="11" t="str">
        <f t="shared" si="5"/>
        <v/>
      </c>
      <c r="N333" s="10"/>
      <c r="O333" s="9"/>
    </row>
    <row r="334" spans="5:15" x14ac:dyDescent="0.3">
      <c r="E334" s="9"/>
      <c r="F334" s="9"/>
      <c r="J334" s="10"/>
      <c r="K334" s="10"/>
      <c r="L334" s="10"/>
      <c r="M334" s="11" t="str">
        <f t="shared" si="5"/>
        <v/>
      </c>
      <c r="N334" s="10"/>
      <c r="O334" s="9"/>
    </row>
    <row r="335" spans="5:15" x14ac:dyDescent="0.3">
      <c r="E335" s="9"/>
      <c r="F335" s="9"/>
      <c r="J335" s="10"/>
      <c r="K335" s="10"/>
      <c r="L335" s="10"/>
      <c r="M335" s="11" t="str">
        <f t="shared" si="5"/>
        <v/>
      </c>
      <c r="N335" s="10"/>
      <c r="O335" s="9"/>
    </row>
    <row r="336" spans="5:15" x14ac:dyDescent="0.3">
      <c r="E336" s="9"/>
      <c r="F336" s="9"/>
      <c r="J336" s="10"/>
      <c r="K336" s="10"/>
      <c r="L336" s="10"/>
      <c r="M336" s="11" t="str">
        <f t="shared" si="5"/>
        <v/>
      </c>
      <c r="N336" s="10"/>
      <c r="O336" s="9"/>
    </row>
    <row r="337" spans="5:15" x14ac:dyDescent="0.3">
      <c r="E337" s="9"/>
      <c r="F337" s="9"/>
      <c r="J337" s="10"/>
      <c r="K337" s="10"/>
      <c r="L337" s="10"/>
      <c r="M337" s="11" t="str">
        <f t="shared" si="5"/>
        <v/>
      </c>
      <c r="N337" s="10"/>
      <c r="O337" s="9"/>
    </row>
    <row r="338" spans="5:15" x14ac:dyDescent="0.3">
      <c r="E338" s="9"/>
      <c r="F338" s="9"/>
      <c r="J338" s="10"/>
      <c r="K338" s="10"/>
      <c r="L338" s="10"/>
      <c r="M338" s="11" t="str">
        <f t="shared" si="5"/>
        <v/>
      </c>
      <c r="N338" s="10"/>
      <c r="O338" s="9"/>
    </row>
    <row r="339" spans="5:15" x14ac:dyDescent="0.3">
      <c r="E339" s="9"/>
      <c r="F339" s="9"/>
      <c r="J339" s="10"/>
      <c r="K339" s="10"/>
      <c r="L339" s="10"/>
      <c r="M339" s="11" t="str">
        <f t="shared" si="5"/>
        <v/>
      </c>
      <c r="N339" s="10"/>
      <c r="O339" s="9"/>
    </row>
    <row r="340" spans="5:15" x14ac:dyDescent="0.3">
      <c r="E340" s="9"/>
      <c r="F340" s="9"/>
      <c r="J340" s="10"/>
      <c r="K340" s="10"/>
      <c r="L340" s="10"/>
      <c r="M340" s="11" t="str">
        <f t="shared" si="5"/>
        <v/>
      </c>
      <c r="N340" s="10"/>
      <c r="O340" s="9"/>
    </row>
    <row r="341" spans="5:15" x14ac:dyDescent="0.3">
      <c r="E341" s="9"/>
      <c r="F341" s="9"/>
      <c r="J341" s="10"/>
      <c r="K341" s="10"/>
      <c r="L341" s="10"/>
      <c r="M341" s="11" t="str">
        <f t="shared" si="5"/>
        <v/>
      </c>
      <c r="N341" s="10"/>
      <c r="O341" s="9"/>
    </row>
    <row r="342" spans="5:15" x14ac:dyDescent="0.3">
      <c r="E342" s="9"/>
      <c r="F342" s="9"/>
      <c r="J342" s="10"/>
      <c r="K342" s="10"/>
      <c r="L342" s="10"/>
      <c r="M342" s="11" t="str">
        <f t="shared" si="5"/>
        <v/>
      </c>
      <c r="N342" s="10"/>
      <c r="O342" s="9"/>
    </row>
    <row r="343" spans="5:15" x14ac:dyDescent="0.3">
      <c r="E343" s="9"/>
      <c r="F343" s="9"/>
      <c r="J343" s="10"/>
      <c r="K343" s="10"/>
      <c r="L343" s="10"/>
      <c r="M343" s="11" t="str">
        <f t="shared" si="5"/>
        <v/>
      </c>
      <c r="N343" s="10"/>
      <c r="O343" s="9"/>
    </row>
    <row r="344" spans="5:15" x14ac:dyDescent="0.3">
      <c r="E344" s="9"/>
      <c r="F344" s="9"/>
      <c r="J344" s="10"/>
      <c r="K344" s="10"/>
      <c r="L344" s="10"/>
      <c r="M344" s="11" t="str">
        <f t="shared" si="5"/>
        <v/>
      </c>
      <c r="N344" s="10"/>
      <c r="O344" s="9"/>
    </row>
    <row r="345" spans="5:15" x14ac:dyDescent="0.3">
      <c r="E345" s="9"/>
      <c r="F345" s="9"/>
      <c r="J345" s="10"/>
      <c r="K345" s="10"/>
      <c r="L345" s="10"/>
      <c r="M345" s="11" t="str">
        <f t="shared" si="5"/>
        <v/>
      </c>
      <c r="N345" s="10"/>
      <c r="O345" s="9"/>
    </row>
    <row r="346" spans="5:15" x14ac:dyDescent="0.3">
      <c r="E346" s="9"/>
      <c r="F346" s="9"/>
      <c r="J346" s="10"/>
      <c r="K346" s="10"/>
      <c r="L346" s="10"/>
      <c r="M346" s="11" t="str">
        <f t="shared" si="5"/>
        <v/>
      </c>
      <c r="N346" s="10"/>
      <c r="O346" s="9"/>
    </row>
    <row r="347" spans="5:15" x14ac:dyDescent="0.3">
      <c r="E347" s="9"/>
      <c r="F347" s="9"/>
      <c r="J347" s="10"/>
      <c r="K347" s="10"/>
      <c r="L347" s="10"/>
      <c r="M347" s="11" t="str">
        <f t="shared" si="5"/>
        <v/>
      </c>
      <c r="N347" s="10"/>
      <c r="O347" s="9"/>
    </row>
    <row r="348" spans="5:15" x14ac:dyDescent="0.3">
      <c r="E348" s="9"/>
      <c r="F348" s="9"/>
      <c r="J348" s="10"/>
      <c r="K348" s="10"/>
      <c r="L348" s="10"/>
      <c r="M348" s="11" t="str">
        <f t="shared" si="5"/>
        <v/>
      </c>
      <c r="N348" s="10"/>
      <c r="O348" s="9"/>
    </row>
    <row r="349" spans="5:15" x14ac:dyDescent="0.3">
      <c r="E349" s="9"/>
      <c r="F349" s="9"/>
      <c r="J349" s="10"/>
      <c r="K349" s="10"/>
      <c r="L349" s="10"/>
      <c r="M349" s="11" t="str">
        <f t="shared" si="5"/>
        <v/>
      </c>
      <c r="N349" s="10"/>
      <c r="O349" s="9"/>
    </row>
    <row r="350" spans="5:15" x14ac:dyDescent="0.3">
      <c r="E350" s="9"/>
      <c r="F350" s="9"/>
      <c r="J350" s="10"/>
      <c r="K350" s="10"/>
      <c r="L350" s="10"/>
      <c r="M350" s="11" t="str">
        <f t="shared" si="5"/>
        <v/>
      </c>
      <c r="N350" s="10"/>
      <c r="O350" s="9"/>
    </row>
    <row r="351" spans="5:15" x14ac:dyDescent="0.3">
      <c r="E351" s="9"/>
      <c r="F351" s="9"/>
      <c r="J351" s="10"/>
      <c r="K351" s="10"/>
      <c r="L351" s="10"/>
      <c r="M351" s="11" t="str">
        <f t="shared" si="5"/>
        <v/>
      </c>
      <c r="N351" s="10"/>
      <c r="O351" s="9"/>
    </row>
    <row r="352" spans="5:15" x14ac:dyDescent="0.3">
      <c r="E352" s="9"/>
      <c r="F352" s="9"/>
      <c r="J352" s="10"/>
      <c r="K352" s="10"/>
      <c r="L352" s="10"/>
      <c r="M352" s="11" t="str">
        <f t="shared" si="5"/>
        <v/>
      </c>
      <c r="N352" s="10"/>
      <c r="O352" s="9"/>
    </row>
    <row r="353" spans="5:15" x14ac:dyDescent="0.3">
      <c r="E353" s="9"/>
      <c r="F353" s="9"/>
      <c r="J353" s="10"/>
      <c r="K353" s="10"/>
      <c r="L353" s="10"/>
      <c r="M353" s="11" t="str">
        <f t="shared" si="5"/>
        <v/>
      </c>
      <c r="N353" s="10"/>
      <c r="O353" s="9"/>
    </row>
    <row r="354" spans="5:15" x14ac:dyDescent="0.3">
      <c r="E354" s="9"/>
      <c r="F354" s="9"/>
      <c r="J354" s="10"/>
      <c r="K354" s="10"/>
      <c r="L354" s="10"/>
      <c r="M354" s="11" t="str">
        <f t="shared" si="5"/>
        <v/>
      </c>
      <c r="N354" s="10"/>
      <c r="O354" s="9"/>
    </row>
    <row r="355" spans="5:15" x14ac:dyDescent="0.3">
      <c r="E355" s="9"/>
      <c r="F355" s="9"/>
      <c r="J355" s="10"/>
      <c r="K355" s="10"/>
      <c r="L355" s="10"/>
      <c r="M355" s="11" t="str">
        <f t="shared" si="5"/>
        <v/>
      </c>
      <c r="N355" s="10"/>
      <c r="O355" s="9"/>
    </row>
    <row r="356" spans="5:15" x14ac:dyDescent="0.3">
      <c r="E356" s="9"/>
      <c r="F356" s="9"/>
      <c r="J356" s="10"/>
      <c r="K356" s="10"/>
      <c r="L356" s="10"/>
      <c r="M356" s="11" t="str">
        <f t="shared" si="5"/>
        <v/>
      </c>
      <c r="N356" s="10"/>
      <c r="O356" s="9"/>
    </row>
    <row r="357" spans="5:15" x14ac:dyDescent="0.3">
      <c r="E357" s="9"/>
      <c r="F357" s="9"/>
      <c r="J357" s="10"/>
      <c r="K357" s="10"/>
      <c r="L357" s="10"/>
      <c r="M357" s="11" t="str">
        <f t="shared" si="5"/>
        <v/>
      </c>
      <c r="N357" s="10"/>
      <c r="O357" s="9"/>
    </row>
    <row r="358" spans="5:15" x14ac:dyDescent="0.3">
      <c r="E358" s="9"/>
      <c r="F358" s="9"/>
      <c r="J358" s="10"/>
      <c r="K358" s="10"/>
      <c r="L358" s="10"/>
      <c r="M358" s="11" t="str">
        <f t="shared" si="5"/>
        <v/>
      </c>
      <c r="N358" s="10"/>
      <c r="O358" s="9"/>
    </row>
    <row r="359" spans="5:15" x14ac:dyDescent="0.3">
      <c r="E359" s="9"/>
      <c r="F359" s="9"/>
      <c r="J359" s="10"/>
      <c r="K359" s="10"/>
      <c r="L359" s="10"/>
      <c r="M359" s="11" t="str">
        <f t="shared" si="5"/>
        <v/>
      </c>
      <c r="N359" s="10"/>
      <c r="O359" s="9"/>
    </row>
    <row r="360" spans="5:15" x14ac:dyDescent="0.3">
      <c r="E360" s="9"/>
      <c r="F360" s="9"/>
      <c r="J360" s="10"/>
      <c r="K360" s="10"/>
      <c r="L360" s="10"/>
      <c r="M360" s="11" t="str">
        <f t="shared" si="5"/>
        <v/>
      </c>
      <c r="N360" s="10"/>
      <c r="O360" s="9"/>
    </row>
    <row r="361" spans="5:15" x14ac:dyDescent="0.3">
      <c r="E361" s="9"/>
      <c r="F361" s="9"/>
      <c r="J361" s="10"/>
      <c r="K361" s="10"/>
      <c r="L361" s="10"/>
      <c r="M361" s="11" t="str">
        <f t="shared" si="5"/>
        <v/>
      </c>
      <c r="N361" s="10"/>
      <c r="O361" s="9"/>
    </row>
    <row r="362" spans="5:15" x14ac:dyDescent="0.3">
      <c r="E362" s="9"/>
      <c r="F362" s="9"/>
      <c r="J362" s="10"/>
      <c r="K362" s="10"/>
      <c r="L362" s="10"/>
      <c r="M362" s="11" t="str">
        <f t="shared" si="5"/>
        <v/>
      </c>
      <c r="N362" s="10"/>
      <c r="O362" s="9"/>
    </row>
    <row r="363" spans="5:15" x14ac:dyDescent="0.3">
      <c r="E363" s="9"/>
      <c r="F363" s="9"/>
      <c r="J363" s="10"/>
      <c r="K363" s="10"/>
      <c r="L363" s="10"/>
      <c r="M363" s="11" t="str">
        <f t="shared" si="5"/>
        <v/>
      </c>
      <c r="N363" s="10"/>
      <c r="O363" s="9"/>
    </row>
    <row r="364" spans="5:15" x14ac:dyDescent="0.3">
      <c r="E364" s="9"/>
      <c r="F364" s="9"/>
      <c r="J364" s="10"/>
      <c r="K364" s="10"/>
      <c r="L364" s="10"/>
      <c r="M364" s="11" t="str">
        <f t="shared" si="5"/>
        <v/>
      </c>
      <c r="N364" s="10"/>
      <c r="O364" s="9"/>
    </row>
    <row r="365" spans="5:15" x14ac:dyDescent="0.3">
      <c r="E365" s="9"/>
      <c r="F365" s="9"/>
      <c r="J365" s="10"/>
      <c r="K365" s="10"/>
      <c r="L365" s="10"/>
      <c r="M365" s="11" t="str">
        <f t="shared" si="5"/>
        <v/>
      </c>
      <c r="N365" s="10"/>
      <c r="O365" s="9"/>
    </row>
    <row r="366" spans="5:15" x14ac:dyDescent="0.3">
      <c r="E366" s="9"/>
      <c r="F366" s="9"/>
      <c r="J366" s="10"/>
      <c r="K366" s="10"/>
      <c r="L366" s="10"/>
      <c r="M366" s="11" t="str">
        <f t="shared" si="5"/>
        <v/>
      </c>
      <c r="N366" s="10"/>
      <c r="O366" s="9"/>
    </row>
    <row r="367" spans="5:15" x14ac:dyDescent="0.3">
      <c r="E367" s="9"/>
      <c r="F367" s="9"/>
      <c r="J367" s="10"/>
      <c r="K367" s="10"/>
      <c r="L367" s="10"/>
      <c r="M367" s="11" t="str">
        <f t="shared" si="5"/>
        <v/>
      </c>
      <c r="N367" s="10"/>
      <c r="O367" s="9"/>
    </row>
    <row r="368" spans="5:15" x14ac:dyDescent="0.3">
      <c r="E368" s="9"/>
      <c r="F368" s="9"/>
      <c r="J368" s="10"/>
      <c r="K368" s="10"/>
      <c r="L368" s="10"/>
      <c r="M368" s="11" t="str">
        <f t="shared" si="5"/>
        <v/>
      </c>
      <c r="N368" s="10"/>
      <c r="O368" s="9"/>
    </row>
    <row r="369" spans="5:15" x14ac:dyDescent="0.3">
      <c r="E369" s="9"/>
      <c r="F369" s="9"/>
      <c r="J369" s="10"/>
      <c r="K369" s="10"/>
      <c r="L369" s="10"/>
      <c r="M369" s="11" t="str">
        <f t="shared" si="5"/>
        <v/>
      </c>
      <c r="N369" s="10"/>
      <c r="O369" s="9"/>
    </row>
    <row r="370" spans="5:15" x14ac:dyDescent="0.3">
      <c r="E370" s="9"/>
      <c r="F370" s="9"/>
      <c r="J370" s="10"/>
      <c r="K370" s="10"/>
      <c r="L370" s="10"/>
      <c r="M370" s="11" t="str">
        <f t="shared" si="5"/>
        <v/>
      </c>
      <c r="N370" s="10"/>
      <c r="O370" s="9"/>
    </row>
    <row r="371" spans="5:15" x14ac:dyDescent="0.3">
      <c r="E371" s="9"/>
      <c r="F371" s="9"/>
      <c r="J371" s="10"/>
      <c r="K371" s="10"/>
      <c r="L371" s="10"/>
      <c r="M371" s="11" t="str">
        <f t="shared" si="5"/>
        <v/>
      </c>
      <c r="N371" s="10"/>
      <c r="O371" s="9"/>
    </row>
    <row r="372" spans="5:15" x14ac:dyDescent="0.3">
      <c r="E372" s="9"/>
      <c r="F372" s="9"/>
      <c r="J372" s="10"/>
      <c r="K372" s="10"/>
      <c r="L372" s="10"/>
      <c r="M372" s="11" t="str">
        <f t="shared" si="5"/>
        <v/>
      </c>
      <c r="N372" s="10"/>
      <c r="O372" s="9"/>
    </row>
    <row r="373" spans="5:15" x14ac:dyDescent="0.3">
      <c r="E373" s="9"/>
      <c r="F373" s="9"/>
      <c r="J373" s="10"/>
      <c r="K373" s="10"/>
      <c r="L373" s="10"/>
      <c r="M373" s="11" t="str">
        <f t="shared" si="5"/>
        <v/>
      </c>
      <c r="N373" s="10"/>
      <c r="O373" s="9"/>
    </row>
    <row r="374" spans="5:15" x14ac:dyDescent="0.3">
      <c r="E374" s="9"/>
      <c r="F374" s="9"/>
      <c r="J374" s="10"/>
      <c r="K374" s="10"/>
      <c r="L374" s="10"/>
      <c r="M374" s="11" t="str">
        <f t="shared" si="5"/>
        <v/>
      </c>
      <c r="N374" s="10"/>
      <c r="O374" s="9"/>
    </row>
    <row r="375" spans="5:15" x14ac:dyDescent="0.3">
      <c r="E375" s="9"/>
      <c r="F375" s="9"/>
      <c r="J375" s="10"/>
      <c r="K375" s="10"/>
      <c r="L375" s="10"/>
      <c r="M375" s="11" t="str">
        <f t="shared" si="5"/>
        <v/>
      </c>
      <c r="N375" s="10"/>
      <c r="O375" s="9"/>
    </row>
    <row r="376" spans="5:15" x14ac:dyDescent="0.3">
      <c r="E376" s="9"/>
      <c r="F376" s="9"/>
      <c r="J376" s="10"/>
      <c r="K376" s="10"/>
      <c r="L376" s="10"/>
      <c r="M376" s="11" t="str">
        <f t="shared" si="5"/>
        <v/>
      </c>
      <c r="N376" s="10"/>
      <c r="O376" s="9"/>
    </row>
    <row r="377" spans="5:15" x14ac:dyDescent="0.3">
      <c r="E377" s="9"/>
      <c r="F377" s="9"/>
      <c r="J377" s="10"/>
      <c r="K377" s="10"/>
      <c r="L377" s="10"/>
      <c r="M377" s="11" t="str">
        <f t="shared" si="5"/>
        <v/>
      </c>
      <c r="N377" s="10"/>
      <c r="O377" s="9"/>
    </row>
    <row r="378" spans="5:15" x14ac:dyDescent="0.3">
      <c r="E378" s="9"/>
      <c r="F378" s="9"/>
      <c r="J378" s="10"/>
      <c r="K378" s="10"/>
      <c r="L378" s="10"/>
      <c r="M378" s="11" t="str">
        <f t="shared" si="5"/>
        <v/>
      </c>
      <c r="N378" s="10"/>
      <c r="O378" s="9"/>
    </row>
    <row r="379" spans="5:15" x14ac:dyDescent="0.3">
      <c r="E379" s="9"/>
      <c r="F379" s="9"/>
      <c r="J379" s="10"/>
      <c r="K379" s="10"/>
      <c r="L379" s="10"/>
      <c r="M379" s="11" t="str">
        <f t="shared" si="5"/>
        <v/>
      </c>
      <c r="N379" s="10"/>
      <c r="O379" s="9"/>
    </row>
    <row r="380" spans="5:15" x14ac:dyDescent="0.3">
      <c r="E380" s="9"/>
      <c r="F380" s="9"/>
      <c r="J380" s="10"/>
      <c r="K380" s="10"/>
      <c r="L380" s="10"/>
      <c r="M380" s="11" t="str">
        <f t="shared" si="5"/>
        <v/>
      </c>
      <c r="N380" s="10"/>
      <c r="O380" s="9"/>
    </row>
    <row r="381" spans="5:15" x14ac:dyDescent="0.3">
      <c r="E381" s="9"/>
      <c r="F381" s="9"/>
      <c r="J381" s="10"/>
      <c r="K381" s="10"/>
      <c r="L381" s="10"/>
      <c r="M381" s="11" t="str">
        <f t="shared" si="5"/>
        <v/>
      </c>
      <c r="N381" s="10"/>
      <c r="O381" s="9"/>
    </row>
    <row r="382" spans="5:15" x14ac:dyDescent="0.3">
      <c r="E382" s="9"/>
      <c r="F382" s="9"/>
      <c r="J382" s="10"/>
      <c r="K382" s="10"/>
      <c r="L382" s="10"/>
      <c r="M382" s="11" t="str">
        <f t="shared" si="5"/>
        <v/>
      </c>
      <c r="N382" s="10"/>
      <c r="O382" s="9"/>
    </row>
    <row r="383" spans="5:15" x14ac:dyDescent="0.3">
      <c r="E383" s="9"/>
      <c r="F383" s="9"/>
      <c r="J383" s="10"/>
      <c r="K383" s="10"/>
      <c r="L383" s="10"/>
      <c r="M383" s="11" t="str">
        <f t="shared" si="5"/>
        <v/>
      </c>
      <c r="N383" s="10"/>
      <c r="O383" s="9"/>
    </row>
    <row r="384" spans="5:15" x14ac:dyDescent="0.3">
      <c r="E384" s="9"/>
      <c r="F384" s="9"/>
      <c r="J384" s="10"/>
      <c r="K384" s="10"/>
      <c r="L384" s="10"/>
      <c r="M384" s="11" t="str">
        <f t="shared" si="5"/>
        <v/>
      </c>
      <c r="N384" s="10"/>
      <c r="O384" s="9"/>
    </row>
    <row r="385" spans="5:15" x14ac:dyDescent="0.3">
      <c r="E385" s="9"/>
      <c r="F385" s="9"/>
      <c r="J385" s="10"/>
      <c r="K385" s="10"/>
      <c r="L385" s="10"/>
      <c r="M385" s="11" t="str">
        <f t="shared" si="5"/>
        <v/>
      </c>
      <c r="N385" s="10"/>
      <c r="O385" s="9"/>
    </row>
    <row r="386" spans="5:15" x14ac:dyDescent="0.3">
      <c r="E386" s="9"/>
      <c r="F386" s="9"/>
      <c r="J386" s="10"/>
      <c r="K386" s="10"/>
      <c r="L386" s="10"/>
      <c r="M386" s="11" t="str">
        <f t="shared" ref="M386:M400" si="6">IF($B386="","",IF($D386="Flasche",IF(N($J386)=0,"",$F386/$J386),$F386))</f>
        <v/>
      </c>
      <c r="N386" s="10"/>
      <c r="O386" s="9"/>
    </row>
    <row r="387" spans="5:15" x14ac:dyDescent="0.3">
      <c r="E387" s="9"/>
      <c r="F387" s="9"/>
      <c r="J387" s="10"/>
      <c r="K387" s="10"/>
      <c r="L387" s="10"/>
      <c r="M387" s="11" t="str">
        <f t="shared" si="6"/>
        <v/>
      </c>
      <c r="N387" s="10"/>
      <c r="O387" s="9"/>
    </row>
    <row r="388" spans="5:15" x14ac:dyDescent="0.3">
      <c r="E388" s="9"/>
      <c r="F388" s="9"/>
      <c r="J388" s="10"/>
      <c r="K388" s="10"/>
      <c r="L388" s="10"/>
      <c r="M388" s="11" t="str">
        <f t="shared" si="6"/>
        <v/>
      </c>
      <c r="N388" s="10"/>
      <c r="O388" s="9"/>
    </row>
    <row r="389" spans="5:15" x14ac:dyDescent="0.3">
      <c r="E389" s="9"/>
      <c r="F389" s="9"/>
      <c r="J389" s="10"/>
      <c r="K389" s="10"/>
      <c r="L389" s="10"/>
      <c r="M389" s="11" t="str">
        <f t="shared" si="6"/>
        <v/>
      </c>
      <c r="N389" s="10"/>
      <c r="O389" s="9"/>
    </row>
    <row r="390" spans="5:15" x14ac:dyDescent="0.3">
      <c r="E390" s="9"/>
      <c r="F390" s="9"/>
      <c r="J390" s="10"/>
      <c r="K390" s="10"/>
      <c r="L390" s="10"/>
      <c r="M390" s="11" t="str">
        <f t="shared" si="6"/>
        <v/>
      </c>
      <c r="N390" s="10"/>
      <c r="O390" s="9"/>
    </row>
    <row r="391" spans="5:15" x14ac:dyDescent="0.3">
      <c r="E391" s="9"/>
      <c r="F391" s="9"/>
      <c r="J391" s="10"/>
      <c r="K391" s="10"/>
      <c r="L391" s="10"/>
      <c r="M391" s="11" t="str">
        <f t="shared" si="6"/>
        <v/>
      </c>
      <c r="N391" s="10"/>
      <c r="O391" s="9"/>
    </row>
    <row r="392" spans="5:15" x14ac:dyDescent="0.3">
      <c r="E392" s="9"/>
      <c r="F392" s="9"/>
      <c r="J392" s="10"/>
      <c r="K392" s="10"/>
      <c r="L392" s="10"/>
      <c r="M392" s="11" t="str">
        <f t="shared" si="6"/>
        <v/>
      </c>
      <c r="N392" s="10"/>
      <c r="O392" s="9"/>
    </row>
    <row r="393" spans="5:15" x14ac:dyDescent="0.3">
      <c r="E393" s="9"/>
      <c r="F393" s="9"/>
      <c r="J393" s="10"/>
      <c r="K393" s="10"/>
      <c r="L393" s="10"/>
      <c r="M393" s="11" t="str">
        <f t="shared" si="6"/>
        <v/>
      </c>
      <c r="N393" s="10"/>
      <c r="O393" s="9"/>
    </row>
    <row r="394" spans="5:15" x14ac:dyDescent="0.3">
      <c r="E394" s="9"/>
      <c r="F394" s="9"/>
      <c r="J394" s="10"/>
      <c r="K394" s="10"/>
      <c r="L394" s="10"/>
      <c r="M394" s="11" t="str">
        <f t="shared" si="6"/>
        <v/>
      </c>
      <c r="N394" s="10"/>
      <c r="O394" s="9"/>
    </row>
    <row r="395" spans="5:15" x14ac:dyDescent="0.3">
      <c r="E395" s="9"/>
      <c r="F395" s="9"/>
      <c r="J395" s="10"/>
      <c r="K395" s="10"/>
      <c r="L395" s="10"/>
      <c r="M395" s="11" t="str">
        <f t="shared" si="6"/>
        <v/>
      </c>
      <c r="N395" s="10"/>
      <c r="O395" s="9"/>
    </row>
    <row r="396" spans="5:15" x14ac:dyDescent="0.3">
      <c r="E396" s="9"/>
      <c r="F396" s="9"/>
      <c r="J396" s="10"/>
      <c r="K396" s="10"/>
      <c r="L396" s="10"/>
      <c r="M396" s="11" t="str">
        <f t="shared" si="6"/>
        <v/>
      </c>
      <c r="N396" s="10"/>
      <c r="O396" s="9"/>
    </row>
    <row r="397" spans="5:15" x14ac:dyDescent="0.3">
      <c r="E397" s="9"/>
      <c r="F397" s="9"/>
      <c r="J397" s="10"/>
      <c r="K397" s="10"/>
      <c r="L397" s="10"/>
      <c r="M397" s="11" t="str">
        <f t="shared" si="6"/>
        <v/>
      </c>
      <c r="N397" s="10"/>
      <c r="O397" s="9"/>
    </row>
    <row r="398" spans="5:15" x14ac:dyDescent="0.3">
      <c r="E398" s="9"/>
      <c r="F398" s="9"/>
      <c r="J398" s="10"/>
      <c r="K398" s="10"/>
      <c r="L398" s="10"/>
      <c r="M398" s="11" t="str">
        <f t="shared" si="6"/>
        <v/>
      </c>
      <c r="N398" s="10"/>
      <c r="O398" s="9"/>
    </row>
    <row r="399" spans="5:15" x14ac:dyDescent="0.3">
      <c r="E399" s="9"/>
      <c r="F399" s="9"/>
      <c r="J399" s="10"/>
      <c r="K399" s="10"/>
      <c r="L399" s="10"/>
      <c r="M399" s="11" t="str">
        <f t="shared" si="6"/>
        <v/>
      </c>
      <c r="N399" s="10"/>
      <c r="O399" s="9"/>
    </row>
    <row r="400" spans="5:15" x14ac:dyDescent="0.3">
      <c r="E400" s="9"/>
      <c r="F400" s="9"/>
      <c r="J400" s="10"/>
      <c r="K400" s="10"/>
      <c r="L400" s="10"/>
      <c r="M400" s="11" t="str">
        <f t="shared" si="6"/>
        <v/>
      </c>
      <c r="N400" s="10"/>
      <c r="O400" s="9"/>
    </row>
  </sheetData>
  <conditionalFormatting sqref="K2:K400">
    <cfRule type="cellIs" dxfId="0" priority="1" operator="lessThan">
      <formula>0</formula>
    </cfRule>
  </conditionalFormatting>
  <dataValidations count="3">
    <dataValidation type="list" allowBlank="1" sqref="D2:D400" xr:uid="{00000000-0002-0000-0200-000001000000}">
      <formula1>"Stück,ml,cl,l,g,kg,Flasche"</formula1>
    </dataValidation>
    <dataValidation type="list" allowBlank="1" sqref="G2:G400" xr:uid="{00000000-0002-0000-0200-000002000000}">
      <formula1>"Einzelartikel,Mix / Rezept"</formula1>
    </dataValidation>
    <dataValidation type="list" allowBlank="1" sqref="H2:I400" xr:uid="{00000000-0002-0000-0200-000003000000}">
      <formula1>"Ja,Nein"</formula1>
    </dataValidation>
  </dataValidations>
  <pageMargins left="0.75" right="0.75" top="1" bottom="1" header="0.5" footer="0.5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WareneingangBuchen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327660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BestandKorrigieren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19</xdr:col>
                    <xdr:colOff>327660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BestandNeuBerechnen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19</xdr:col>
                    <xdr:colOff>327660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EinkaufslisteErzeugen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327660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200-000000000000}">
          <x14:formula1>
            <xm:f>Kategorien!$A$2:$A$50</xm:f>
          </x14:formula1>
          <xm:sqref>C2:C400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H400"/>
  <sheetViews>
    <sheetView workbookViewId="0">
      <pane ySplit="1" topLeftCell="A2" activePane="bottomLeft" state="frozen"/>
      <selection pane="bottomLeft"/>
    </sheetView>
  </sheetViews>
  <sheetFormatPr baseColWidth="10" defaultColWidth="8.88671875" defaultRowHeight="14.4" x14ac:dyDescent="0.3"/>
  <cols>
    <col min="1" max="1" width="28" customWidth="1"/>
    <col min="2" max="2" width="30" customWidth="1"/>
    <col min="3" max="3" width="10" customWidth="1"/>
    <col min="4" max="4" width="11" customWidth="1"/>
    <col min="5" max="5" width="15" customWidth="1"/>
    <col min="6" max="6" width="12" customWidth="1"/>
  </cols>
  <sheetData>
    <row r="1" spans="1:8" ht="25.95" customHeight="1" x14ac:dyDescent="0.3">
      <c r="A1" s="6" t="s">
        <v>58</v>
      </c>
      <c r="B1" s="6" t="s">
        <v>29</v>
      </c>
      <c r="C1" s="6" t="s">
        <v>59</v>
      </c>
      <c r="D1" s="6" t="s">
        <v>33</v>
      </c>
      <c r="E1" s="6" t="s">
        <v>60</v>
      </c>
      <c r="F1" s="6" t="s">
        <v>61</v>
      </c>
    </row>
    <row r="2" spans="1:8" x14ac:dyDescent="0.3">
      <c r="A2" t="s">
        <v>55</v>
      </c>
      <c r="B2" t="s">
        <v>52</v>
      </c>
      <c r="C2">
        <v>20</v>
      </c>
      <c r="D2" t="s">
        <v>62</v>
      </c>
      <c r="E2" s="10">
        <f t="shared" ref="E2:E65" si="0">IF($A2="","",$C2*IF($D2="cl",10,IF(OR($D2="l",$D2="kg"),1000,1)))</f>
        <v>20</v>
      </c>
      <c r="F2" s="10">
        <f>IF($A2="","",IF(ISNA(MATCH($B2,Artikel!$B:$B,0)),"ohne Artikel",IF(N($E2)=0,"",ROUNDDOWN(INDEX(Artikel!$K:$K,MATCH($B2,Artikel!$B:$B,0))/$E2,0))))</f>
        <v>32</v>
      </c>
      <c r="H2" s="12" t="s">
        <v>63</v>
      </c>
    </row>
    <row r="3" spans="1:8" x14ac:dyDescent="0.3">
      <c r="A3" t="s">
        <v>57</v>
      </c>
      <c r="B3" t="s">
        <v>52</v>
      </c>
      <c r="C3">
        <v>40</v>
      </c>
      <c r="D3" t="s">
        <v>62</v>
      </c>
      <c r="E3" s="10">
        <f t="shared" si="0"/>
        <v>40</v>
      </c>
      <c r="F3" s="10">
        <f>IF($A3="","",IF(ISNA(MATCH($B3,Artikel!$B:$B,0)),"ohne Artikel",IF(N($E3)=0,"",ROUNDDOWN(INDEX(Artikel!$K:$K,MATCH($B3,Artikel!$B:$B,0))/$E3,0))))</f>
        <v>16</v>
      </c>
    </row>
    <row r="4" spans="1:8" x14ac:dyDescent="0.3">
      <c r="A4" t="s">
        <v>57</v>
      </c>
      <c r="B4" t="s">
        <v>45</v>
      </c>
      <c r="C4">
        <v>1</v>
      </c>
      <c r="D4" t="s">
        <v>46</v>
      </c>
      <c r="E4" s="10">
        <f t="shared" si="0"/>
        <v>1</v>
      </c>
      <c r="F4" s="10">
        <f>IF($A4="","",IF(ISNA(MATCH($B4,Artikel!$B:$B,0)),"ohne Artikel",IF(N($E4)=0,"",ROUNDDOWN(INDEX(Artikel!$K:$K,MATCH($B4,Artikel!$B:$B,0))/$E4,0))))</f>
        <v>98</v>
      </c>
    </row>
    <row r="5" spans="1:8" x14ac:dyDescent="0.3">
      <c r="A5" t="s">
        <v>57</v>
      </c>
      <c r="B5" t="s">
        <v>64</v>
      </c>
      <c r="C5">
        <v>1</v>
      </c>
      <c r="D5" t="s">
        <v>46</v>
      </c>
      <c r="E5" s="10">
        <f t="shared" si="0"/>
        <v>1</v>
      </c>
      <c r="F5" s="10" t="str">
        <f>IF($A5="","",IF(ISNA(MATCH($B5,Artikel!$B:$B,0)),"ohne Artikel",IF(N($E5)=0,"",ROUNDDOWN(INDEX(Artikel!$K:$K,MATCH($B5,Artikel!$B:$B,0))/$E5,0))))</f>
        <v>ohne Artikel</v>
      </c>
    </row>
    <row r="6" spans="1:8" x14ac:dyDescent="0.3">
      <c r="E6" s="10" t="str">
        <f t="shared" si="0"/>
        <v/>
      </c>
      <c r="F6" s="10" t="str">
        <f>IF($A6="","",IF(ISNA(MATCH($B6,Artikel!$B:$B,0)),"ohne Artikel",IF(N($E6)=0,"",ROUNDDOWN(INDEX(Artikel!$K:$K,MATCH($B6,Artikel!$B:$B,0))/$E6,0))))</f>
        <v/>
      </c>
    </row>
    <row r="7" spans="1:8" x14ac:dyDescent="0.3">
      <c r="E7" s="10" t="str">
        <f t="shared" si="0"/>
        <v/>
      </c>
      <c r="F7" s="10" t="str">
        <f>IF($A7="","",IF(ISNA(MATCH($B7,Artikel!$B:$B,0)),"ohne Artikel",IF(N($E7)=0,"",ROUNDDOWN(INDEX(Artikel!$K:$K,MATCH($B7,Artikel!$B:$B,0))/$E7,0))))</f>
        <v/>
      </c>
    </row>
    <row r="8" spans="1:8" x14ac:dyDescent="0.3">
      <c r="E8" s="10" t="str">
        <f t="shared" si="0"/>
        <v/>
      </c>
      <c r="F8" s="10" t="str">
        <f>IF($A8="","",IF(ISNA(MATCH($B8,Artikel!$B:$B,0)),"ohne Artikel",IF(N($E8)=0,"",ROUNDDOWN(INDEX(Artikel!$K:$K,MATCH($B8,Artikel!$B:$B,0))/$E8,0))))</f>
        <v/>
      </c>
    </row>
    <row r="9" spans="1:8" x14ac:dyDescent="0.3">
      <c r="E9" s="10" t="str">
        <f t="shared" si="0"/>
        <v/>
      </c>
      <c r="F9" s="10" t="str">
        <f>IF($A9="","",IF(ISNA(MATCH($B9,Artikel!$B:$B,0)),"ohne Artikel",IF(N($E9)=0,"",ROUNDDOWN(INDEX(Artikel!$K:$K,MATCH($B9,Artikel!$B:$B,0))/$E9,0))))</f>
        <v/>
      </c>
    </row>
    <row r="10" spans="1:8" x14ac:dyDescent="0.3">
      <c r="E10" s="10" t="str">
        <f t="shared" si="0"/>
        <v/>
      </c>
      <c r="F10" s="10" t="str">
        <f>IF($A10="","",IF(ISNA(MATCH($B10,Artikel!$B:$B,0)),"ohne Artikel",IF(N($E10)=0,"",ROUNDDOWN(INDEX(Artikel!$K:$K,MATCH($B10,Artikel!$B:$B,0))/$E10,0))))</f>
        <v/>
      </c>
    </row>
    <row r="11" spans="1:8" x14ac:dyDescent="0.3">
      <c r="E11" s="10" t="str">
        <f t="shared" si="0"/>
        <v/>
      </c>
      <c r="F11" s="10" t="str">
        <f>IF($A11="","",IF(ISNA(MATCH($B11,Artikel!$B:$B,0)),"ohne Artikel",IF(N($E11)=0,"",ROUNDDOWN(INDEX(Artikel!$K:$K,MATCH($B11,Artikel!$B:$B,0))/$E11,0))))</f>
        <v/>
      </c>
    </row>
    <row r="12" spans="1:8" x14ac:dyDescent="0.3">
      <c r="E12" s="10" t="str">
        <f t="shared" si="0"/>
        <v/>
      </c>
      <c r="F12" s="10" t="str">
        <f>IF($A12="","",IF(ISNA(MATCH($B12,Artikel!$B:$B,0)),"ohne Artikel",IF(N($E12)=0,"",ROUNDDOWN(INDEX(Artikel!$K:$K,MATCH($B12,Artikel!$B:$B,0))/$E12,0))))</f>
        <v/>
      </c>
    </row>
    <row r="13" spans="1:8" x14ac:dyDescent="0.3">
      <c r="E13" s="10" t="str">
        <f t="shared" si="0"/>
        <v/>
      </c>
      <c r="F13" s="10" t="str">
        <f>IF($A13="","",IF(ISNA(MATCH($B13,Artikel!$B:$B,0)),"ohne Artikel",IF(N($E13)=0,"",ROUNDDOWN(INDEX(Artikel!$K:$K,MATCH($B13,Artikel!$B:$B,0))/$E13,0))))</f>
        <v/>
      </c>
    </row>
    <row r="14" spans="1:8" x14ac:dyDescent="0.3">
      <c r="E14" s="10" t="str">
        <f t="shared" si="0"/>
        <v/>
      </c>
      <c r="F14" s="10" t="str">
        <f>IF($A14="","",IF(ISNA(MATCH($B14,Artikel!$B:$B,0)),"ohne Artikel",IF(N($E14)=0,"",ROUNDDOWN(INDEX(Artikel!$K:$K,MATCH($B14,Artikel!$B:$B,0))/$E14,0))))</f>
        <v/>
      </c>
    </row>
    <row r="15" spans="1:8" x14ac:dyDescent="0.3">
      <c r="E15" s="10" t="str">
        <f t="shared" si="0"/>
        <v/>
      </c>
      <c r="F15" s="10" t="str">
        <f>IF($A15="","",IF(ISNA(MATCH($B15,Artikel!$B:$B,0)),"ohne Artikel",IF(N($E15)=0,"",ROUNDDOWN(INDEX(Artikel!$K:$K,MATCH($B15,Artikel!$B:$B,0))/$E15,0))))</f>
        <v/>
      </c>
    </row>
    <row r="16" spans="1:8" x14ac:dyDescent="0.3">
      <c r="E16" s="10" t="str">
        <f t="shared" si="0"/>
        <v/>
      </c>
      <c r="F16" s="10" t="str">
        <f>IF($A16="","",IF(ISNA(MATCH($B16,Artikel!$B:$B,0)),"ohne Artikel",IF(N($E16)=0,"",ROUNDDOWN(INDEX(Artikel!$K:$K,MATCH($B16,Artikel!$B:$B,0))/$E16,0))))</f>
        <v/>
      </c>
    </row>
    <row r="17" spans="5:6" x14ac:dyDescent="0.3">
      <c r="E17" s="10" t="str">
        <f t="shared" si="0"/>
        <v/>
      </c>
      <c r="F17" s="10" t="str">
        <f>IF($A17="","",IF(ISNA(MATCH($B17,Artikel!$B:$B,0)),"ohne Artikel",IF(N($E17)=0,"",ROUNDDOWN(INDEX(Artikel!$K:$K,MATCH($B17,Artikel!$B:$B,0))/$E17,0))))</f>
        <v/>
      </c>
    </row>
    <row r="18" spans="5:6" x14ac:dyDescent="0.3">
      <c r="E18" s="10" t="str">
        <f t="shared" si="0"/>
        <v/>
      </c>
      <c r="F18" s="10" t="str">
        <f>IF($A18="","",IF(ISNA(MATCH($B18,Artikel!$B:$B,0)),"ohne Artikel",IF(N($E18)=0,"",ROUNDDOWN(INDEX(Artikel!$K:$K,MATCH($B18,Artikel!$B:$B,0))/$E18,0))))</f>
        <v/>
      </c>
    </row>
    <row r="19" spans="5:6" x14ac:dyDescent="0.3">
      <c r="E19" s="10" t="str">
        <f t="shared" si="0"/>
        <v/>
      </c>
      <c r="F19" s="10" t="str">
        <f>IF($A19="","",IF(ISNA(MATCH($B19,Artikel!$B:$B,0)),"ohne Artikel",IF(N($E19)=0,"",ROUNDDOWN(INDEX(Artikel!$K:$K,MATCH($B19,Artikel!$B:$B,0))/$E19,0))))</f>
        <v/>
      </c>
    </row>
    <row r="20" spans="5:6" x14ac:dyDescent="0.3">
      <c r="E20" s="10" t="str">
        <f t="shared" si="0"/>
        <v/>
      </c>
      <c r="F20" s="10" t="str">
        <f>IF($A20="","",IF(ISNA(MATCH($B20,Artikel!$B:$B,0)),"ohne Artikel",IF(N($E20)=0,"",ROUNDDOWN(INDEX(Artikel!$K:$K,MATCH($B20,Artikel!$B:$B,0))/$E20,0))))</f>
        <v/>
      </c>
    </row>
    <row r="21" spans="5:6" x14ac:dyDescent="0.3">
      <c r="E21" s="10" t="str">
        <f t="shared" si="0"/>
        <v/>
      </c>
      <c r="F21" s="10" t="str">
        <f>IF($A21="","",IF(ISNA(MATCH($B21,Artikel!$B:$B,0)),"ohne Artikel",IF(N($E21)=0,"",ROUNDDOWN(INDEX(Artikel!$K:$K,MATCH($B21,Artikel!$B:$B,0))/$E21,0))))</f>
        <v/>
      </c>
    </row>
    <row r="22" spans="5:6" x14ac:dyDescent="0.3">
      <c r="E22" s="10" t="str">
        <f t="shared" si="0"/>
        <v/>
      </c>
      <c r="F22" s="10" t="str">
        <f>IF($A22="","",IF(ISNA(MATCH($B22,Artikel!$B:$B,0)),"ohne Artikel",IF(N($E22)=0,"",ROUNDDOWN(INDEX(Artikel!$K:$K,MATCH($B22,Artikel!$B:$B,0))/$E22,0))))</f>
        <v/>
      </c>
    </row>
    <row r="23" spans="5:6" x14ac:dyDescent="0.3">
      <c r="E23" s="10" t="str">
        <f t="shared" si="0"/>
        <v/>
      </c>
      <c r="F23" s="10" t="str">
        <f>IF($A23="","",IF(ISNA(MATCH($B23,Artikel!$B:$B,0)),"ohne Artikel",IF(N($E23)=0,"",ROUNDDOWN(INDEX(Artikel!$K:$K,MATCH($B23,Artikel!$B:$B,0))/$E23,0))))</f>
        <v/>
      </c>
    </row>
    <row r="24" spans="5:6" x14ac:dyDescent="0.3">
      <c r="E24" s="10" t="str">
        <f t="shared" si="0"/>
        <v/>
      </c>
      <c r="F24" s="10" t="str">
        <f>IF($A24="","",IF(ISNA(MATCH($B24,Artikel!$B:$B,0)),"ohne Artikel",IF(N($E24)=0,"",ROUNDDOWN(INDEX(Artikel!$K:$K,MATCH($B24,Artikel!$B:$B,0))/$E24,0))))</f>
        <v/>
      </c>
    </row>
    <row r="25" spans="5:6" x14ac:dyDescent="0.3">
      <c r="E25" s="10" t="str">
        <f t="shared" si="0"/>
        <v/>
      </c>
      <c r="F25" s="10" t="str">
        <f>IF($A25="","",IF(ISNA(MATCH($B25,Artikel!$B:$B,0)),"ohne Artikel",IF(N($E25)=0,"",ROUNDDOWN(INDEX(Artikel!$K:$K,MATCH($B25,Artikel!$B:$B,0))/$E25,0))))</f>
        <v/>
      </c>
    </row>
    <row r="26" spans="5:6" x14ac:dyDescent="0.3">
      <c r="E26" s="10" t="str">
        <f t="shared" si="0"/>
        <v/>
      </c>
      <c r="F26" s="10" t="str">
        <f>IF($A26="","",IF(ISNA(MATCH($B26,Artikel!$B:$B,0)),"ohne Artikel",IF(N($E26)=0,"",ROUNDDOWN(INDEX(Artikel!$K:$K,MATCH($B26,Artikel!$B:$B,0))/$E26,0))))</f>
        <v/>
      </c>
    </row>
    <row r="27" spans="5:6" x14ac:dyDescent="0.3">
      <c r="E27" s="10" t="str">
        <f t="shared" si="0"/>
        <v/>
      </c>
      <c r="F27" s="10" t="str">
        <f>IF($A27="","",IF(ISNA(MATCH($B27,Artikel!$B:$B,0)),"ohne Artikel",IF(N($E27)=0,"",ROUNDDOWN(INDEX(Artikel!$K:$K,MATCH($B27,Artikel!$B:$B,0))/$E27,0))))</f>
        <v/>
      </c>
    </row>
    <row r="28" spans="5:6" x14ac:dyDescent="0.3">
      <c r="E28" s="10" t="str">
        <f t="shared" si="0"/>
        <v/>
      </c>
      <c r="F28" s="10" t="str">
        <f>IF($A28="","",IF(ISNA(MATCH($B28,Artikel!$B:$B,0)),"ohne Artikel",IF(N($E28)=0,"",ROUNDDOWN(INDEX(Artikel!$K:$K,MATCH($B28,Artikel!$B:$B,0))/$E28,0))))</f>
        <v/>
      </c>
    </row>
    <row r="29" spans="5:6" x14ac:dyDescent="0.3">
      <c r="E29" s="10" t="str">
        <f t="shared" si="0"/>
        <v/>
      </c>
      <c r="F29" s="10" t="str">
        <f>IF($A29="","",IF(ISNA(MATCH($B29,Artikel!$B:$B,0)),"ohne Artikel",IF(N($E29)=0,"",ROUNDDOWN(INDEX(Artikel!$K:$K,MATCH($B29,Artikel!$B:$B,0))/$E29,0))))</f>
        <v/>
      </c>
    </row>
    <row r="30" spans="5:6" x14ac:dyDescent="0.3">
      <c r="E30" s="10" t="str">
        <f t="shared" si="0"/>
        <v/>
      </c>
      <c r="F30" s="10" t="str">
        <f>IF($A30="","",IF(ISNA(MATCH($B30,Artikel!$B:$B,0)),"ohne Artikel",IF(N($E30)=0,"",ROUNDDOWN(INDEX(Artikel!$K:$K,MATCH($B30,Artikel!$B:$B,0))/$E30,0))))</f>
        <v/>
      </c>
    </row>
    <row r="31" spans="5:6" x14ac:dyDescent="0.3">
      <c r="E31" s="10" t="str">
        <f t="shared" si="0"/>
        <v/>
      </c>
      <c r="F31" s="10" t="str">
        <f>IF($A31="","",IF(ISNA(MATCH($B31,Artikel!$B:$B,0)),"ohne Artikel",IF(N($E31)=0,"",ROUNDDOWN(INDEX(Artikel!$K:$K,MATCH($B31,Artikel!$B:$B,0))/$E31,0))))</f>
        <v/>
      </c>
    </row>
    <row r="32" spans="5:6" x14ac:dyDescent="0.3">
      <c r="E32" s="10" t="str">
        <f t="shared" si="0"/>
        <v/>
      </c>
      <c r="F32" s="10" t="str">
        <f>IF($A32="","",IF(ISNA(MATCH($B32,Artikel!$B:$B,0)),"ohne Artikel",IF(N($E32)=0,"",ROUNDDOWN(INDEX(Artikel!$K:$K,MATCH($B32,Artikel!$B:$B,0))/$E32,0))))</f>
        <v/>
      </c>
    </row>
    <row r="33" spans="5:6" x14ac:dyDescent="0.3">
      <c r="E33" s="10" t="str">
        <f t="shared" si="0"/>
        <v/>
      </c>
      <c r="F33" s="10" t="str">
        <f>IF($A33="","",IF(ISNA(MATCH($B33,Artikel!$B:$B,0)),"ohne Artikel",IF(N($E33)=0,"",ROUNDDOWN(INDEX(Artikel!$K:$K,MATCH($B33,Artikel!$B:$B,0))/$E33,0))))</f>
        <v/>
      </c>
    </row>
    <row r="34" spans="5:6" x14ac:dyDescent="0.3">
      <c r="E34" s="10" t="str">
        <f t="shared" si="0"/>
        <v/>
      </c>
      <c r="F34" s="10" t="str">
        <f>IF($A34="","",IF(ISNA(MATCH($B34,Artikel!$B:$B,0)),"ohne Artikel",IF(N($E34)=0,"",ROUNDDOWN(INDEX(Artikel!$K:$K,MATCH($B34,Artikel!$B:$B,0))/$E34,0))))</f>
        <v/>
      </c>
    </row>
    <row r="35" spans="5:6" x14ac:dyDescent="0.3">
      <c r="E35" s="10" t="str">
        <f t="shared" si="0"/>
        <v/>
      </c>
      <c r="F35" s="10" t="str">
        <f>IF($A35="","",IF(ISNA(MATCH($B35,Artikel!$B:$B,0)),"ohne Artikel",IF(N($E35)=0,"",ROUNDDOWN(INDEX(Artikel!$K:$K,MATCH($B35,Artikel!$B:$B,0))/$E35,0))))</f>
        <v/>
      </c>
    </row>
    <row r="36" spans="5:6" x14ac:dyDescent="0.3">
      <c r="E36" s="10" t="str">
        <f t="shared" si="0"/>
        <v/>
      </c>
      <c r="F36" s="10" t="str">
        <f>IF($A36="","",IF(ISNA(MATCH($B36,Artikel!$B:$B,0)),"ohne Artikel",IF(N($E36)=0,"",ROUNDDOWN(INDEX(Artikel!$K:$K,MATCH($B36,Artikel!$B:$B,0))/$E36,0))))</f>
        <v/>
      </c>
    </row>
    <row r="37" spans="5:6" x14ac:dyDescent="0.3">
      <c r="E37" s="10" t="str">
        <f t="shared" si="0"/>
        <v/>
      </c>
      <c r="F37" s="10" t="str">
        <f>IF($A37="","",IF(ISNA(MATCH($B37,Artikel!$B:$B,0)),"ohne Artikel",IF(N($E37)=0,"",ROUNDDOWN(INDEX(Artikel!$K:$K,MATCH($B37,Artikel!$B:$B,0))/$E37,0))))</f>
        <v/>
      </c>
    </row>
    <row r="38" spans="5:6" x14ac:dyDescent="0.3">
      <c r="E38" s="10" t="str">
        <f t="shared" si="0"/>
        <v/>
      </c>
      <c r="F38" s="10" t="str">
        <f>IF($A38="","",IF(ISNA(MATCH($B38,Artikel!$B:$B,0)),"ohne Artikel",IF(N($E38)=0,"",ROUNDDOWN(INDEX(Artikel!$K:$K,MATCH($B38,Artikel!$B:$B,0))/$E38,0))))</f>
        <v/>
      </c>
    </row>
    <row r="39" spans="5:6" x14ac:dyDescent="0.3">
      <c r="E39" s="10" t="str">
        <f t="shared" si="0"/>
        <v/>
      </c>
      <c r="F39" s="10" t="str">
        <f>IF($A39="","",IF(ISNA(MATCH($B39,Artikel!$B:$B,0)),"ohne Artikel",IF(N($E39)=0,"",ROUNDDOWN(INDEX(Artikel!$K:$K,MATCH($B39,Artikel!$B:$B,0))/$E39,0))))</f>
        <v/>
      </c>
    </row>
    <row r="40" spans="5:6" x14ac:dyDescent="0.3">
      <c r="E40" s="10" t="str">
        <f t="shared" si="0"/>
        <v/>
      </c>
      <c r="F40" s="10" t="str">
        <f>IF($A40="","",IF(ISNA(MATCH($B40,Artikel!$B:$B,0)),"ohne Artikel",IF(N($E40)=0,"",ROUNDDOWN(INDEX(Artikel!$K:$K,MATCH($B40,Artikel!$B:$B,0))/$E40,0))))</f>
        <v/>
      </c>
    </row>
    <row r="41" spans="5:6" x14ac:dyDescent="0.3">
      <c r="E41" s="10" t="str">
        <f t="shared" si="0"/>
        <v/>
      </c>
      <c r="F41" s="10" t="str">
        <f>IF($A41="","",IF(ISNA(MATCH($B41,Artikel!$B:$B,0)),"ohne Artikel",IF(N($E41)=0,"",ROUNDDOWN(INDEX(Artikel!$K:$K,MATCH($B41,Artikel!$B:$B,0))/$E41,0))))</f>
        <v/>
      </c>
    </row>
    <row r="42" spans="5:6" x14ac:dyDescent="0.3">
      <c r="E42" s="10" t="str">
        <f t="shared" si="0"/>
        <v/>
      </c>
      <c r="F42" s="10" t="str">
        <f>IF($A42="","",IF(ISNA(MATCH($B42,Artikel!$B:$B,0)),"ohne Artikel",IF(N($E42)=0,"",ROUNDDOWN(INDEX(Artikel!$K:$K,MATCH($B42,Artikel!$B:$B,0))/$E42,0))))</f>
        <v/>
      </c>
    </row>
    <row r="43" spans="5:6" x14ac:dyDescent="0.3">
      <c r="E43" s="10" t="str">
        <f t="shared" si="0"/>
        <v/>
      </c>
      <c r="F43" s="10" t="str">
        <f>IF($A43="","",IF(ISNA(MATCH($B43,Artikel!$B:$B,0)),"ohne Artikel",IF(N($E43)=0,"",ROUNDDOWN(INDEX(Artikel!$K:$K,MATCH($B43,Artikel!$B:$B,0))/$E43,0))))</f>
        <v/>
      </c>
    </row>
    <row r="44" spans="5:6" x14ac:dyDescent="0.3">
      <c r="E44" s="10" t="str">
        <f t="shared" si="0"/>
        <v/>
      </c>
      <c r="F44" s="10" t="str">
        <f>IF($A44="","",IF(ISNA(MATCH($B44,Artikel!$B:$B,0)),"ohne Artikel",IF(N($E44)=0,"",ROUNDDOWN(INDEX(Artikel!$K:$K,MATCH($B44,Artikel!$B:$B,0))/$E44,0))))</f>
        <v/>
      </c>
    </row>
    <row r="45" spans="5:6" x14ac:dyDescent="0.3">
      <c r="E45" s="10" t="str">
        <f t="shared" si="0"/>
        <v/>
      </c>
      <c r="F45" s="10" t="str">
        <f>IF($A45="","",IF(ISNA(MATCH($B45,Artikel!$B:$B,0)),"ohne Artikel",IF(N($E45)=0,"",ROUNDDOWN(INDEX(Artikel!$K:$K,MATCH($B45,Artikel!$B:$B,0))/$E45,0))))</f>
        <v/>
      </c>
    </row>
    <row r="46" spans="5:6" x14ac:dyDescent="0.3">
      <c r="E46" s="10" t="str">
        <f t="shared" si="0"/>
        <v/>
      </c>
      <c r="F46" s="10" t="str">
        <f>IF($A46="","",IF(ISNA(MATCH($B46,Artikel!$B:$B,0)),"ohne Artikel",IF(N($E46)=0,"",ROUNDDOWN(INDEX(Artikel!$K:$K,MATCH($B46,Artikel!$B:$B,0))/$E46,0))))</f>
        <v/>
      </c>
    </row>
    <row r="47" spans="5:6" x14ac:dyDescent="0.3">
      <c r="E47" s="10" t="str">
        <f t="shared" si="0"/>
        <v/>
      </c>
      <c r="F47" s="10" t="str">
        <f>IF($A47="","",IF(ISNA(MATCH($B47,Artikel!$B:$B,0)),"ohne Artikel",IF(N($E47)=0,"",ROUNDDOWN(INDEX(Artikel!$K:$K,MATCH($B47,Artikel!$B:$B,0))/$E47,0))))</f>
        <v/>
      </c>
    </row>
    <row r="48" spans="5:6" x14ac:dyDescent="0.3">
      <c r="E48" s="10" t="str">
        <f t="shared" si="0"/>
        <v/>
      </c>
      <c r="F48" s="10" t="str">
        <f>IF($A48="","",IF(ISNA(MATCH($B48,Artikel!$B:$B,0)),"ohne Artikel",IF(N($E48)=0,"",ROUNDDOWN(INDEX(Artikel!$K:$K,MATCH($B48,Artikel!$B:$B,0))/$E48,0))))</f>
        <v/>
      </c>
    </row>
    <row r="49" spans="5:6" x14ac:dyDescent="0.3">
      <c r="E49" s="10" t="str">
        <f t="shared" si="0"/>
        <v/>
      </c>
      <c r="F49" s="10" t="str">
        <f>IF($A49="","",IF(ISNA(MATCH($B49,Artikel!$B:$B,0)),"ohne Artikel",IF(N($E49)=0,"",ROUNDDOWN(INDEX(Artikel!$K:$K,MATCH($B49,Artikel!$B:$B,0))/$E49,0))))</f>
        <v/>
      </c>
    </row>
    <row r="50" spans="5:6" x14ac:dyDescent="0.3">
      <c r="E50" s="10" t="str">
        <f t="shared" si="0"/>
        <v/>
      </c>
      <c r="F50" s="10" t="str">
        <f>IF($A50="","",IF(ISNA(MATCH($B50,Artikel!$B:$B,0)),"ohne Artikel",IF(N($E50)=0,"",ROUNDDOWN(INDEX(Artikel!$K:$K,MATCH($B50,Artikel!$B:$B,0))/$E50,0))))</f>
        <v/>
      </c>
    </row>
    <row r="51" spans="5:6" x14ac:dyDescent="0.3">
      <c r="E51" s="10" t="str">
        <f t="shared" si="0"/>
        <v/>
      </c>
      <c r="F51" s="10" t="str">
        <f>IF($A51="","",IF(ISNA(MATCH($B51,Artikel!$B:$B,0)),"ohne Artikel",IF(N($E51)=0,"",ROUNDDOWN(INDEX(Artikel!$K:$K,MATCH($B51,Artikel!$B:$B,0))/$E51,0))))</f>
        <v/>
      </c>
    </row>
    <row r="52" spans="5:6" x14ac:dyDescent="0.3">
      <c r="E52" s="10" t="str">
        <f t="shared" si="0"/>
        <v/>
      </c>
      <c r="F52" s="10" t="str">
        <f>IF($A52="","",IF(ISNA(MATCH($B52,Artikel!$B:$B,0)),"ohne Artikel",IF(N($E52)=0,"",ROUNDDOWN(INDEX(Artikel!$K:$K,MATCH($B52,Artikel!$B:$B,0))/$E52,0))))</f>
        <v/>
      </c>
    </row>
    <row r="53" spans="5:6" x14ac:dyDescent="0.3">
      <c r="E53" s="10" t="str">
        <f t="shared" si="0"/>
        <v/>
      </c>
      <c r="F53" s="10" t="str">
        <f>IF($A53="","",IF(ISNA(MATCH($B53,Artikel!$B:$B,0)),"ohne Artikel",IF(N($E53)=0,"",ROUNDDOWN(INDEX(Artikel!$K:$K,MATCH($B53,Artikel!$B:$B,0))/$E53,0))))</f>
        <v/>
      </c>
    </row>
    <row r="54" spans="5:6" x14ac:dyDescent="0.3">
      <c r="E54" s="10" t="str">
        <f t="shared" si="0"/>
        <v/>
      </c>
      <c r="F54" s="10" t="str">
        <f>IF($A54="","",IF(ISNA(MATCH($B54,Artikel!$B:$B,0)),"ohne Artikel",IF(N($E54)=0,"",ROUNDDOWN(INDEX(Artikel!$K:$K,MATCH($B54,Artikel!$B:$B,0))/$E54,0))))</f>
        <v/>
      </c>
    </row>
    <row r="55" spans="5:6" x14ac:dyDescent="0.3">
      <c r="E55" s="10" t="str">
        <f t="shared" si="0"/>
        <v/>
      </c>
      <c r="F55" s="10" t="str">
        <f>IF($A55="","",IF(ISNA(MATCH($B55,Artikel!$B:$B,0)),"ohne Artikel",IF(N($E55)=0,"",ROUNDDOWN(INDEX(Artikel!$K:$K,MATCH($B55,Artikel!$B:$B,0))/$E55,0))))</f>
        <v/>
      </c>
    </row>
    <row r="56" spans="5:6" x14ac:dyDescent="0.3">
      <c r="E56" s="10" t="str">
        <f t="shared" si="0"/>
        <v/>
      </c>
      <c r="F56" s="10" t="str">
        <f>IF($A56="","",IF(ISNA(MATCH($B56,Artikel!$B:$B,0)),"ohne Artikel",IF(N($E56)=0,"",ROUNDDOWN(INDEX(Artikel!$K:$K,MATCH($B56,Artikel!$B:$B,0))/$E56,0))))</f>
        <v/>
      </c>
    </row>
    <row r="57" spans="5:6" x14ac:dyDescent="0.3">
      <c r="E57" s="10" t="str">
        <f t="shared" si="0"/>
        <v/>
      </c>
      <c r="F57" s="10" t="str">
        <f>IF($A57="","",IF(ISNA(MATCH($B57,Artikel!$B:$B,0)),"ohne Artikel",IF(N($E57)=0,"",ROUNDDOWN(INDEX(Artikel!$K:$K,MATCH($B57,Artikel!$B:$B,0))/$E57,0))))</f>
        <v/>
      </c>
    </row>
    <row r="58" spans="5:6" x14ac:dyDescent="0.3">
      <c r="E58" s="10" t="str">
        <f t="shared" si="0"/>
        <v/>
      </c>
      <c r="F58" s="10" t="str">
        <f>IF($A58="","",IF(ISNA(MATCH($B58,Artikel!$B:$B,0)),"ohne Artikel",IF(N($E58)=0,"",ROUNDDOWN(INDEX(Artikel!$K:$K,MATCH($B58,Artikel!$B:$B,0))/$E58,0))))</f>
        <v/>
      </c>
    </row>
    <row r="59" spans="5:6" x14ac:dyDescent="0.3">
      <c r="E59" s="10" t="str">
        <f t="shared" si="0"/>
        <v/>
      </c>
      <c r="F59" s="10" t="str">
        <f>IF($A59="","",IF(ISNA(MATCH($B59,Artikel!$B:$B,0)),"ohne Artikel",IF(N($E59)=0,"",ROUNDDOWN(INDEX(Artikel!$K:$K,MATCH($B59,Artikel!$B:$B,0))/$E59,0))))</f>
        <v/>
      </c>
    </row>
    <row r="60" spans="5:6" x14ac:dyDescent="0.3">
      <c r="E60" s="10" t="str">
        <f t="shared" si="0"/>
        <v/>
      </c>
      <c r="F60" s="10" t="str">
        <f>IF($A60="","",IF(ISNA(MATCH($B60,Artikel!$B:$B,0)),"ohne Artikel",IF(N($E60)=0,"",ROUNDDOWN(INDEX(Artikel!$K:$K,MATCH($B60,Artikel!$B:$B,0))/$E60,0))))</f>
        <v/>
      </c>
    </row>
    <row r="61" spans="5:6" x14ac:dyDescent="0.3">
      <c r="E61" s="10" t="str">
        <f t="shared" si="0"/>
        <v/>
      </c>
      <c r="F61" s="10" t="str">
        <f>IF($A61="","",IF(ISNA(MATCH($B61,Artikel!$B:$B,0)),"ohne Artikel",IF(N($E61)=0,"",ROUNDDOWN(INDEX(Artikel!$K:$K,MATCH($B61,Artikel!$B:$B,0))/$E61,0))))</f>
        <v/>
      </c>
    </row>
    <row r="62" spans="5:6" x14ac:dyDescent="0.3">
      <c r="E62" s="10" t="str">
        <f t="shared" si="0"/>
        <v/>
      </c>
      <c r="F62" s="10" t="str">
        <f>IF($A62="","",IF(ISNA(MATCH($B62,Artikel!$B:$B,0)),"ohne Artikel",IF(N($E62)=0,"",ROUNDDOWN(INDEX(Artikel!$K:$K,MATCH($B62,Artikel!$B:$B,0))/$E62,0))))</f>
        <v/>
      </c>
    </row>
    <row r="63" spans="5:6" x14ac:dyDescent="0.3">
      <c r="E63" s="10" t="str">
        <f t="shared" si="0"/>
        <v/>
      </c>
      <c r="F63" s="10" t="str">
        <f>IF($A63="","",IF(ISNA(MATCH($B63,Artikel!$B:$B,0)),"ohne Artikel",IF(N($E63)=0,"",ROUNDDOWN(INDEX(Artikel!$K:$K,MATCH($B63,Artikel!$B:$B,0))/$E63,0))))</f>
        <v/>
      </c>
    </row>
    <row r="64" spans="5:6" x14ac:dyDescent="0.3">
      <c r="E64" s="10" t="str">
        <f t="shared" si="0"/>
        <v/>
      </c>
      <c r="F64" s="10" t="str">
        <f>IF($A64="","",IF(ISNA(MATCH($B64,Artikel!$B:$B,0)),"ohne Artikel",IF(N($E64)=0,"",ROUNDDOWN(INDEX(Artikel!$K:$K,MATCH($B64,Artikel!$B:$B,0))/$E64,0))))</f>
        <v/>
      </c>
    </row>
    <row r="65" spans="5:6" x14ac:dyDescent="0.3">
      <c r="E65" s="10" t="str">
        <f t="shared" si="0"/>
        <v/>
      </c>
      <c r="F65" s="10" t="str">
        <f>IF($A65="","",IF(ISNA(MATCH($B65,Artikel!$B:$B,0)),"ohne Artikel",IF(N($E65)=0,"",ROUNDDOWN(INDEX(Artikel!$K:$K,MATCH($B65,Artikel!$B:$B,0))/$E65,0))))</f>
        <v/>
      </c>
    </row>
    <row r="66" spans="5:6" x14ac:dyDescent="0.3">
      <c r="E66" s="10" t="str">
        <f t="shared" ref="E66:E129" si="1">IF($A66="","",$C66*IF($D66="cl",10,IF(OR($D66="l",$D66="kg"),1000,1)))</f>
        <v/>
      </c>
      <c r="F66" s="10" t="str">
        <f>IF($A66="","",IF(ISNA(MATCH($B66,Artikel!$B:$B,0)),"ohne Artikel",IF(N($E66)=0,"",ROUNDDOWN(INDEX(Artikel!$K:$K,MATCH($B66,Artikel!$B:$B,0))/$E66,0))))</f>
        <v/>
      </c>
    </row>
    <row r="67" spans="5:6" x14ac:dyDescent="0.3">
      <c r="E67" s="10" t="str">
        <f t="shared" si="1"/>
        <v/>
      </c>
      <c r="F67" s="10" t="str">
        <f>IF($A67="","",IF(ISNA(MATCH($B67,Artikel!$B:$B,0)),"ohne Artikel",IF(N($E67)=0,"",ROUNDDOWN(INDEX(Artikel!$K:$K,MATCH($B67,Artikel!$B:$B,0))/$E67,0))))</f>
        <v/>
      </c>
    </row>
    <row r="68" spans="5:6" x14ac:dyDescent="0.3">
      <c r="E68" s="10" t="str">
        <f t="shared" si="1"/>
        <v/>
      </c>
      <c r="F68" s="10" t="str">
        <f>IF($A68="","",IF(ISNA(MATCH($B68,Artikel!$B:$B,0)),"ohne Artikel",IF(N($E68)=0,"",ROUNDDOWN(INDEX(Artikel!$K:$K,MATCH($B68,Artikel!$B:$B,0))/$E68,0))))</f>
        <v/>
      </c>
    </row>
    <row r="69" spans="5:6" x14ac:dyDescent="0.3">
      <c r="E69" s="10" t="str">
        <f t="shared" si="1"/>
        <v/>
      </c>
      <c r="F69" s="10" t="str">
        <f>IF($A69="","",IF(ISNA(MATCH($B69,Artikel!$B:$B,0)),"ohne Artikel",IF(N($E69)=0,"",ROUNDDOWN(INDEX(Artikel!$K:$K,MATCH($B69,Artikel!$B:$B,0))/$E69,0))))</f>
        <v/>
      </c>
    </row>
    <row r="70" spans="5:6" x14ac:dyDescent="0.3">
      <c r="E70" s="10" t="str">
        <f t="shared" si="1"/>
        <v/>
      </c>
      <c r="F70" s="10" t="str">
        <f>IF($A70="","",IF(ISNA(MATCH($B70,Artikel!$B:$B,0)),"ohne Artikel",IF(N($E70)=0,"",ROUNDDOWN(INDEX(Artikel!$K:$K,MATCH($B70,Artikel!$B:$B,0))/$E70,0))))</f>
        <v/>
      </c>
    </row>
    <row r="71" spans="5:6" x14ac:dyDescent="0.3">
      <c r="E71" s="10" t="str">
        <f t="shared" si="1"/>
        <v/>
      </c>
      <c r="F71" s="10" t="str">
        <f>IF($A71="","",IF(ISNA(MATCH($B71,Artikel!$B:$B,0)),"ohne Artikel",IF(N($E71)=0,"",ROUNDDOWN(INDEX(Artikel!$K:$K,MATCH($B71,Artikel!$B:$B,0))/$E71,0))))</f>
        <v/>
      </c>
    </row>
    <row r="72" spans="5:6" x14ac:dyDescent="0.3">
      <c r="E72" s="10" t="str">
        <f t="shared" si="1"/>
        <v/>
      </c>
      <c r="F72" s="10" t="str">
        <f>IF($A72="","",IF(ISNA(MATCH($B72,Artikel!$B:$B,0)),"ohne Artikel",IF(N($E72)=0,"",ROUNDDOWN(INDEX(Artikel!$K:$K,MATCH($B72,Artikel!$B:$B,0))/$E72,0))))</f>
        <v/>
      </c>
    </row>
    <row r="73" spans="5:6" x14ac:dyDescent="0.3">
      <c r="E73" s="10" t="str">
        <f t="shared" si="1"/>
        <v/>
      </c>
      <c r="F73" s="10" t="str">
        <f>IF($A73="","",IF(ISNA(MATCH($B73,Artikel!$B:$B,0)),"ohne Artikel",IF(N($E73)=0,"",ROUNDDOWN(INDEX(Artikel!$K:$K,MATCH($B73,Artikel!$B:$B,0))/$E73,0))))</f>
        <v/>
      </c>
    </row>
    <row r="74" spans="5:6" x14ac:dyDescent="0.3">
      <c r="E74" s="10" t="str">
        <f t="shared" si="1"/>
        <v/>
      </c>
      <c r="F74" s="10" t="str">
        <f>IF($A74="","",IF(ISNA(MATCH($B74,Artikel!$B:$B,0)),"ohne Artikel",IF(N($E74)=0,"",ROUNDDOWN(INDEX(Artikel!$K:$K,MATCH($B74,Artikel!$B:$B,0))/$E74,0))))</f>
        <v/>
      </c>
    </row>
    <row r="75" spans="5:6" x14ac:dyDescent="0.3">
      <c r="E75" s="10" t="str">
        <f t="shared" si="1"/>
        <v/>
      </c>
      <c r="F75" s="10" t="str">
        <f>IF($A75="","",IF(ISNA(MATCH($B75,Artikel!$B:$B,0)),"ohne Artikel",IF(N($E75)=0,"",ROUNDDOWN(INDEX(Artikel!$K:$K,MATCH($B75,Artikel!$B:$B,0))/$E75,0))))</f>
        <v/>
      </c>
    </row>
    <row r="76" spans="5:6" x14ac:dyDescent="0.3">
      <c r="E76" s="10" t="str">
        <f t="shared" si="1"/>
        <v/>
      </c>
      <c r="F76" s="10" t="str">
        <f>IF($A76="","",IF(ISNA(MATCH($B76,Artikel!$B:$B,0)),"ohne Artikel",IF(N($E76)=0,"",ROUNDDOWN(INDEX(Artikel!$K:$K,MATCH($B76,Artikel!$B:$B,0))/$E76,0))))</f>
        <v/>
      </c>
    </row>
    <row r="77" spans="5:6" x14ac:dyDescent="0.3">
      <c r="E77" s="10" t="str">
        <f t="shared" si="1"/>
        <v/>
      </c>
      <c r="F77" s="10" t="str">
        <f>IF($A77="","",IF(ISNA(MATCH($B77,Artikel!$B:$B,0)),"ohne Artikel",IF(N($E77)=0,"",ROUNDDOWN(INDEX(Artikel!$K:$K,MATCH($B77,Artikel!$B:$B,0))/$E77,0))))</f>
        <v/>
      </c>
    </row>
    <row r="78" spans="5:6" x14ac:dyDescent="0.3">
      <c r="E78" s="10" t="str">
        <f t="shared" si="1"/>
        <v/>
      </c>
      <c r="F78" s="10" t="str">
        <f>IF($A78="","",IF(ISNA(MATCH($B78,Artikel!$B:$B,0)),"ohne Artikel",IF(N($E78)=0,"",ROUNDDOWN(INDEX(Artikel!$K:$K,MATCH($B78,Artikel!$B:$B,0))/$E78,0))))</f>
        <v/>
      </c>
    </row>
    <row r="79" spans="5:6" x14ac:dyDescent="0.3">
      <c r="E79" s="10" t="str">
        <f t="shared" si="1"/>
        <v/>
      </c>
      <c r="F79" s="10" t="str">
        <f>IF($A79="","",IF(ISNA(MATCH($B79,Artikel!$B:$B,0)),"ohne Artikel",IF(N($E79)=0,"",ROUNDDOWN(INDEX(Artikel!$K:$K,MATCH($B79,Artikel!$B:$B,0))/$E79,0))))</f>
        <v/>
      </c>
    </row>
    <row r="80" spans="5:6" x14ac:dyDescent="0.3">
      <c r="E80" s="10" t="str">
        <f t="shared" si="1"/>
        <v/>
      </c>
      <c r="F80" s="10" t="str">
        <f>IF($A80="","",IF(ISNA(MATCH($B80,Artikel!$B:$B,0)),"ohne Artikel",IF(N($E80)=0,"",ROUNDDOWN(INDEX(Artikel!$K:$K,MATCH($B80,Artikel!$B:$B,0))/$E80,0))))</f>
        <v/>
      </c>
    </row>
    <row r="81" spans="5:6" x14ac:dyDescent="0.3">
      <c r="E81" s="10" t="str">
        <f t="shared" si="1"/>
        <v/>
      </c>
      <c r="F81" s="10" t="str">
        <f>IF($A81="","",IF(ISNA(MATCH($B81,Artikel!$B:$B,0)),"ohne Artikel",IF(N($E81)=0,"",ROUNDDOWN(INDEX(Artikel!$K:$K,MATCH($B81,Artikel!$B:$B,0))/$E81,0))))</f>
        <v/>
      </c>
    </row>
    <row r="82" spans="5:6" x14ac:dyDescent="0.3">
      <c r="E82" s="10" t="str">
        <f t="shared" si="1"/>
        <v/>
      </c>
      <c r="F82" s="10" t="str">
        <f>IF($A82="","",IF(ISNA(MATCH($B82,Artikel!$B:$B,0)),"ohne Artikel",IF(N($E82)=0,"",ROUNDDOWN(INDEX(Artikel!$K:$K,MATCH($B82,Artikel!$B:$B,0))/$E82,0))))</f>
        <v/>
      </c>
    </row>
    <row r="83" spans="5:6" x14ac:dyDescent="0.3">
      <c r="E83" s="10" t="str">
        <f t="shared" si="1"/>
        <v/>
      </c>
      <c r="F83" s="10" t="str">
        <f>IF($A83="","",IF(ISNA(MATCH($B83,Artikel!$B:$B,0)),"ohne Artikel",IF(N($E83)=0,"",ROUNDDOWN(INDEX(Artikel!$K:$K,MATCH($B83,Artikel!$B:$B,0))/$E83,0))))</f>
        <v/>
      </c>
    </row>
    <row r="84" spans="5:6" x14ac:dyDescent="0.3">
      <c r="E84" s="10" t="str">
        <f t="shared" si="1"/>
        <v/>
      </c>
      <c r="F84" s="10" t="str">
        <f>IF($A84="","",IF(ISNA(MATCH($B84,Artikel!$B:$B,0)),"ohne Artikel",IF(N($E84)=0,"",ROUNDDOWN(INDEX(Artikel!$K:$K,MATCH($B84,Artikel!$B:$B,0))/$E84,0))))</f>
        <v/>
      </c>
    </row>
    <row r="85" spans="5:6" x14ac:dyDescent="0.3">
      <c r="E85" s="10" t="str">
        <f t="shared" si="1"/>
        <v/>
      </c>
      <c r="F85" s="10" t="str">
        <f>IF($A85="","",IF(ISNA(MATCH($B85,Artikel!$B:$B,0)),"ohne Artikel",IF(N($E85)=0,"",ROUNDDOWN(INDEX(Artikel!$K:$K,MATCH($B85,Artikel!$B:$B,0))/$E85,0))))</f>
        <v/>
      </c>
    </row>
    <row r="86" spans="5:6" x14ac:dyDescent="0.3">
      <c r="E86" s="10" t="str">
        <f t="shared" si="1"/>
        <v/>
      </c>
      <c r="F86" s="10" t="str">
        <f>IF($A86="","",IF(ISNA(MATCH($B86,Artikel!$B:$B,0)),"ohne Artikel",IF(N($E86)=0,"",ROUNDDOWN(INDEX(Artikel!$K:$K,MATCH($B86,Artikel!$B:$B,0))/$E86,0))))</f>
        <v/>
      </c>
    </row>
    <row r="87" spans="5:6" x14ac:dyDescent="0.3">
      <c r="E87" s="10" t="str">
        <f t="shared" si="1"/>
        <v/>
      </c>
      <c r="F87" s="10" t="str">
        <f>IF($A87="","",IF(ISNA(MATCH($B87,Artikel!$B:$B,0)),"ohne Artikel",IF(N($E87)=0,"",ROUNDDOWN(INDEX(Artikel!$K:$K,MATCH($B87,Artikel!$B:$B,0))/$E87,0))))</f>
        <v/>
      </c>
    </row>
    <row r="88" spans="5:6" x14ac:dyDescent="0.3">
      <c r="E88" s="10" t="str">
        <f t="shared" si="1"/>
        <v/>
      </c>
      <c r="F88" s="10" t="str">
        <f>IF($A88="","",IF(ISNA(MATCH($B88,Artikel!$B:$B,0)),"ohne Artikel",IF(N($E88)=0,"",ROUNDDOWN(INDEX(Artikel!$K:$K,MATCH($B88,Artikel!$B:$B,0))/$E88,0))))</f>
        <v/>
      </c>
    </row>
    <row r="89" spans="5:6" x14ac:dyDescent="0.3">
      <c r="E89" s="10" t="str">
        <f t="shared" si="1"/>
        <v/>
      </c>
      <c r="F89" s="10" t="str">
        <f>IF($A89="","",IF(ISNA(MATCH($B89,Artikel!$B:$B,0)),"ohne Artikel",IF(N($E89)=0,"",ROUNDDOWN(INDEX(Artikel!$K:$K,MATCH($B89,Artikel!$B:$B,0))/$E89,0))))</f>
        <v/>
      </c>
    </row>
    <row r="90" spans="5:6" x14ac:dyDescent="0.3">
      <c r="E90" s="10" t="str">
        <f t="shared" si="1"/>
        <v/>
      </c>
      <c r="F90" s="10" t="str">
        <f>IF($A90="","",IF(ISNA(MATCH($B90,Artikel!$B:$B,0)),"ohne Artikel",IF(N($E90)=0,"",ROUNDDOWN(INDEX(Artikel!$K:$K,MATCH($B90,Artikel!$B:$B,0))/$E90,0))))</f>
        <v/>
      </c>
    </row>
    <row r="91" spans="5:6" x14ac:dyDescent="0.3">
      <c r="E91" s="10" t="str">
        <f t="shared" si="1"/>
        <v/>
      </c>
      <c r="F91" s="10" t="str">
        <f>IF($A91="","",IF(ISNA(MATCH($B91,Artikel!$B:$B,0)),"ohne Artikel",IF(N($E91)=0,"",ROUNDDOWN(INDEX(Artikel!$K:$K,MATCH($B91,Artikel!$B:$B,0))/$E91,0))))</f>
        <v/>
      </c>
    </row>
    <row r="92" spans="5:6" x14ac:dyDescent="0.3">
      <c r="E92" s="10" t="str">
        <f t="shared" si="1"/>
        <v/>
      </c>
      <c r="F92" s="10" t="str">
        <f>IF($A92="","",IF(ISNA(MATCH($B92,Artikel!$B:$B,0)),"ohne Artikel",IF(N($E92)=0,"",ROUNDDOWN(INDEX(Artikel!$K:$K,MATCH($B92,Artikel!$B:$B,0))/$E92,0))))</f>
        <v/>
      </c>
    </row>
    <row r="93" spans="5:6" x14ac:dyDescent="0.3">
      <c r="E93" s="10" t="str">
        <f t="shared" si="1"/>
        <v/>
      </c>
      <c r="F93" s="10" t="str">
        <f>IF($A93="","",IF(ISNA(MATCH($B93,Artikel!$B:$B,0)),"ohne Artikel",IF(N($E93)=0,"",ROUNDDOWN(INDEX(Artikel!$K:$K,MATCH($B93,Artikel!$B:$B,0))/$E93,0))))</f>
        <v/>
      </c>
    </row>
    <row r="94" spans="5:6" x14ac:dyDescent="0.3">
      <c r="E94" s="10" t="str">
        <f t="shared" si="1"/>
        <v/>
      </c>
      <c r="F94" s="10" t="str">
        <f>IF($A94="","",IF(ISNA(MATCH($B94,Artikel!$B:$B,0)),"ohne Artikel",IF(N($E94)=0,"",ROUNDDOWN(INDEX(Artikel!$K:$K,MATCH($B94,Artikel!$B:$B,0))/$E94,0))))</f>
        <v/>
      </c>
    </row>
    <row r="95" spans="5:6" x14ac:dyDescent="0.3">
      <c r="E95" s="10" t="str">
        <f t="shared" si="1"/>
        <v/>
      </c>
      <c r="F95" s="10" t="str">
        <f>IF($A95="","",IF(ISNA(MATCH($B95,Artikel!$B:$B,0)),"ohne Artikel",IF(N($E95)=0,"",ROUNDDOWN(INDEX(Artikel!$K:$K,MATCH($B95,Artikel!$B:$B,0))/$E95,0))))</f>
        <v/>
      </c>
    </row>
    <row r="96" spans="5:6" x14ac:dyDescent="0.3">
      <c r="E96" s="10" t="str">
        <f t="shared" si="1"/>
        <v/>
      </c>
      <c r="F96" s="10" t="str">
        <f>IF($A96="","",IF(ISNA(MATCH($B96,Artikel!$B:$B,0)),"ohne Artikel",IF(N($E96)=0,"",ROUNDDOWN(INDEX(Artikel!$K:$K,MATCH($B96,Artikel!$B:$B,0))/$E96,0))))</f>
        <v/>
      </c>
    </row>
    <row r="97" spans="5:6" x14ac:dyDescent="0.3">
      <c r="E97" s="10" t="str">
        <f t="shared" si="1"/>
        <v/>
      </c>
      <c r="F97" s="10" t="str">
        <f>IF($A97="","",IF(ISNA(MATCH($B97,Artikel!$B:$B,0)),"ohne Artikel",IF(N($E97)=0,"",ROUNDDOWN(INDEX(Artikel!$K:$K,MATCH($B97,Artikel!$B:$B,0))/$E97,0))))</f>
        <v/>
      </c>
    </row>
    <row r="98" spans="5:6" x14ac:dyDescent="0.3">
      <c r="E98" s="10" t="str">
        <f t="shared" si="1"/>
        <v/>
      </c>
      <c r="F98" s="10" t="str">
        <f>IF($A98="","",IF(ISNA(MATCH($B98,Artikel!$B:$B,0)),"ohne Artikel",IF(N($E98)=0,"",ROUNDDOWN(INDEX(Artikel!$K:$K,MATCH($B98,Artikel!$B:$B,0))/$E98,0))))</f>
        <v/>
      </c>
    </row>
    <row r="99" spans="5:6" x14ac:dyDescent="0.3">
      <c r="E99" s="10" t="str">
        <f t="shared" si="1"/>
        <v/>
      </c>
      <c r="F99" s="10" t="str">
        <f>IF($A99="","",IF(ISNA(MATCH($B99,Artikel!$B:$B,0)),"ohne Artikel",IF(N($E99)=0,"",ROUNDDOWN(INDEX(Artikel!$K:$K,MATCH($B99,Artikel!$B:$B,0))/$E99,0))))</f>
        <v/>
      </c>
    </row>
    <row r="100" spans="5:6" x14ac:dyDescent="0.3">
      <c r="E100" s="10" t="str">
        <f t="shared" si="1"/>
        <v/>
      </c>
      <c r="F100" s="10" t="str">
        <f>IF($A100="","",IF(ISNA(MATCH($B100,Artikel!$B:$B,0)),"ohne Artikel",IF(N($E100)=0,"",ROUNDDOWN(INDEX(Artikel!$K:$K,MATCH($B100,Artikel!$B:$B,0))/$E100,0))))</f>
        <v/>
      </c>
    </row>
    <row r="101" spans="5:6" x14ac:dyDescent="0.3">
      <c r="E101" s="10" t="str">
        <f t="shared" si="1"/>
        <v/>
      </c>
      <c r="F101" s="10" t="str">
        <f>IF($A101="","",IF(ISNA(MATCH($B101,Artikel!$B:$B,0)),"ohne Artikel",IF(N($E101)=0,"",ROUNDDOWN(INDEX(Artikel!$K:$K,MATCH($B101,Artikel!$B:$B,0))/$E101,0))))</f>
        <v/>
      </c>
    </row>
    <row r="102" spans="5:6" x14ac:dyDescent="0.3">
      <c r="E102" s="10" t="str">
        <f t="shared" si="1"/>
        <v/>
      </c>
      <c r="F102" s="10" t="str">
        <f>IF($A102="","",IF(ISNA(MATCH($B102,Artikel!$B:$B,0)),"ohne Artikel",IF(N($E102)=0,"",ROUNDDOWN(INDEX(Artikel!$K:$K,MATCH($B102,Artikel!$B:$B,0))/$E102,0))))</f>
        <v/>
      </c>
    </row>
    <row r="103" spans="5:6" x14ac:dyDescent="0.3">
      <c r="E103" s="10" t="str">
        <f t="shared" si="1"/>
        <v/>
      </c>
      <c r="F103" s="10" t="str">
        <f>IF($A103="","",IF(ISNA(MATCH($B103,Artikel!$B:$B,0)),"ohne Artikel",IF(N($E103)=0,"",ROUNDDOWN(INDEX(Artikel!$K:$K,MATCH($B103,Artikel!$B:$B,0))/$E103,0))))</f>
        <v/>
      </c>
    </row>
    <row r="104" spans="5:6" x14ac:dyDescent="0.3">
      <c r="E104" s="10" t="str">
        <f t="shared" si="1"/>
        <v/>
      </c>
      <c r="F104" s="10" t="str">
        <f>IF($A104="","",IF(ISNA(MATCH($B104,Artikel!$B:$B,0)),"ohne Artikel",IF(N($E104)=0,"",ROUNDDOWN(INDEX(Artikel!$K:$K,MATCH($B104,Artikel!$B:$B,0))/$E104,0))))</f>
        <v/>
      </c>
    </row>
    <row r="105" spans="5:6" x14ac:dyDescent="0.3">
      <c r="E105" s="10" t="str">
        <f t="shared" si="1"/>
        <v/>
      </c>
      <c r="F105" s="10" t="str">
        <f>IF($A105="","",IF(ISNA(MATCH($B105,Artikel!$B:$B,0)),"ohne Artikel",IF(N($E105)=0,"",ROUNDDOWN(INDEX(Artikel!$K:$K,MATCH($B105,Artikel!$B:$B,0))/$E105,0))))</f>
        <v/>
      </c>
    </row>
    <row r="106" spans="5:6" x14ac:dyDescent="0.3">
      <c r="E106" s="10" t="str">
        <f t="shared" si="1"/>
        <v/>
      </c>
      <c r="F106" s="10" t="str">
        <f>IF($A106="","",IF(ISNA(MATCH($B106,Artikel!$B:$B,0)),"ohne Artikel",IF(N($E106)=0,"",ROUNDDOWN(INDEX(Artikel!$K:$K,MATCH($B106,Artikel!$B:$B,0))/$E106,0))))</f>
        <v/>
      </c>
    </row>
    <row r="107" spans="5:6" x14ac:dyDescent="0.3">
      <c r="E107" s="10" t="str">
        <f t="shared" si="1"/>
        <v/>
      </c>
      <c r="F107" s="10" t="str">
        <f>IF($A107="","",IF(ISNA(MATCH($B107,Artikel!$B:$B,0)),"ohne Artikel",IF(N($E107)=0,"",ROUNDDOWN(INDEX(Artikel!$K:$K,MATCH($B107,Artikel!$B:$B,0))/$E107,0))))</f>
        <v/>
      </c>
    </row>
    <row r="108" spans="5:6" x14ac:dyDescent="0.3">
      <c r="E108" s="10" t="str">
        <f t="shared" si="1"/>
        <v/>
      </c>
      <c r="F108" s="10" t="str">
        <f>IF($A108="","",IF(ISNA(MATCH($B108,Artikel!$B:$B,0)),"ohne Artikel",IF(N($E108)=0,"",ROUNDDOWN(INDEX(Artikel!$K:$K,MATCH($B108,Artikel!$B:$B,0))/$E108,0))))</f>
        <v/>
      </c>
    </row>
    <row r="109" spans="5:6" x14ac:dyDescent="0.3">
      <c r="E109" s="10" t="str">
        <f t="shared" si="1"/>
        <v/>
      </c>
      <c r="F109" s="10" t="str">
        <f>IF($A109="","",IF(ISNA(MATCH($B109,Artikel!$B:$B,0)),"ohne Artikel",IF(N($E109)=0,"",ROUNDDOWN(INDEX(Artikel!$K:$K,MATCH($B109,Artikel!$B:$B,0))/$E109,0))))</f>
        <v/>
      </c>
    </row>
    <row r="110" spans="5:6" x14ac:dyDescent="0.3">
      <c r="E110" s="10" t="str">
        <f t="shared" si="1"/>
        <v/>
      </c>
      <c r="F110" s="10" t="str">
        <f>IF($A110="","",IF(ISNA(MATCH($B110,Artikel!$B:$B,0)),"ohne Artikel",IF(N($E110)=0,"",ROUNDDOWN(INDEX(Artikel!$K:$K,MATCH($B110,Artikel!$B:$B,0))/$E110,0))))</f>
        <v/>
      </c>
    </row>
    <row r="111" spans="5:6" x14ac:dyDescent="0.3">
      <c r="E111" s="10" t="str">
        <f t="shared" si="1"/>
        <v/>
      </c>
      <c r="F111" s="10" t="str">
        <f>IF($A111="","",IF(ISNA(MATCH($B111,Artikel!$B:$B,0)),"ohne Artikel",IF(N($E111)=0,"",ROUNDDOWN(INDEX(Artikel!$K:$K,MATCH($B111,Artikel!$B:$B,0))/$E111,0))))</f>
        <v/>
      </c>
    </row>
    <row r="112" spans="5:6" x14ac:dyDescent="0.3">
      <c r="E112" s="10" t="str">
        <f t="shared" si="1"/>
        <v/>
      </c>
      <c r="F112" s="10" t="str">
        <f>IF($A112="","",IF(ISNA(MATCH($B112,Artikel!$B:$B,0)),"ohne Artikel",IF(N($E112)=0,"",ROUNDDOWN(INDEX(Artikel!$K:$K,MATCH($B112,Artikel!$B:$B,0))/$E112,0))))</f>
        <v/>
      </c>
    </row>
    <row r="113" spans="5:6" x14ac:dyDescent="0.3">
      <c r="E113" s="10" t="str">
        <f t="shared" si="1"/>
        <v/>
      </c>
      <c r="F113" s="10" t="str">
        <f>IF($A113="","",IF(ISNA(MATCH($B113,Artikel!$B:$B,0)),"ohne Artikel",IF(N($E113)=0,"",ROUNDDOWN(INDEX(Artikel!$K:$K,MATCH($B113,Artikel!$B:$B,0))/$E113,0))))</f>
        <v/>
      </c>
    </row>
    <row r="114" spans="5:6" x14ac:dyDescent="0.3">
      <c r="E114" s="10" t="str">
        <f t="shared" si="1"/>
        <v/>
      </c>
      <c r="F114" s="10" t="str">
        <f>IF($A114="","",IF(ISNA(MATCH($B114,Artikel!$B:$B,0)),"ohne Artikel",IF(N($E114)=0,"",ROUNDDOWN(INDEX(Artikel!$K:$K,MATCH($B114,Artikel!$B:$B,0))/$E114,0))))</f>
        <v/>
      </c>
    </row>
    <row r="115" spans="5:6" x14ac:dyDescent="0.3">
      <c r="E115" s="10" t="str">
        <f t="shared" si="1"/>
        <v/>
      </c>
      <c r="F115" s="10" t="str">
        <f>IF($A115="","",IF(ISNA(MATCH($B115,Artikel!$B:$B,0)),"ohne Artikel",IF(N($E115)=0,"",ROUNDDOWN(INDEX(Artikel!$K:$K,MATCH($B115,Artikel!$B:$B,0))/$E115,0))))</f>
        <v/>
      </c>
    </row>
    <row r="116" spans="5:6" x14ac:dyDescent="0.3">
      <c r="E116" s="10" t="str">
        <f t="shared" si="1"/>
        <v/>
      </c>
      <c r="F116" s="10" t="str">
        <f>IF($A116="","",IF(ISNA(MATCH($B116,Artikel!$B:$B,0)),"ohne Artikel",IF(N($E116)=0,"",ROUNDDOWN(INDEX(Artikel!$K:$K,MATCH($B116,Artikel!$B:$B,0))/$E116,0))))</f>
        <v/>
      </c>
    </row>
    <row r="117" spans="5:6" x14ac:dyDescent="0.3">
      <c r="E117" s="10" t="str">
        <f t="shared" si="1"/>
        <v/>
      </c>
      <c r="F117" s="10" t="str">
        <f>IF($A117="","",IF(ISNA(MATCH($B117,Artikel!$B:$B,0)),"ohne Artikel",IF(N($E117)=0,"",ROUNDDOWN(INDEX(Artikel!$K:$K,MATCH($B117,Artikel!$B:$B,0))/$E117,0))))</f>
        <v/>
      </c>
    </row>
    <row r="118" spans="5:6" x14ac:dyDescent="0.3">
      <c r="E118" s="10" t="str">
        <f t="shared" si="1"/>
        <v/>
      </c>
      <c r="F118" s="10" t="str">
        <f>IF($A118="","",IF(ISNA(MATCH($B118,Artikel!$B:$B,0)),"ohne Artikel",IF(N($E118)=0,"",ROUNDDOWN(INDEX(Artikel!$K:$K,MATCH($B118,Artikel!$B:$B,0))/$E118,0))))</f>
        <v/>
      </c>
    </row>
    <row r="119" spans="5:6" x14ac:dyDescent="0.3">
      <c r="E119" s="10" t="str">
        <f t="shared" si="1"/>
        <v/>
      </c>
      <c r="F119" s="10" t="str">
        <f>IF($A119="","",IF(ISNA(MATCH($B119,Artikel!$B:$B,0)),"ohne Artikel",IF(N($E119)=0,"",ROUNDDOWN(INDEX(Artikel!$K:$K,MATCH($B119,Artikel!$B:$B,0))/$E119,0))))</f>
        <v/>
      </c>
    </row>
    <row r="120" spans="5:6" x14ac:dyDescent="0.3">
      <c r="E120" s="10" t="str">
        <f t="shared" si="1"/>
        <v/>
      </c>
      <c r="F120" s="10" t="str">
        <f>IF($A120="","",IF(ISNA(MATCH($B120,Artikel!$B:$B,0)),"ohne Artikel",IF(N($E120)=0,"",ROUNDDOWN(INDEX(Artikel!$K:$K,MATCH($B120,Artikel!$B:$B,0))/$E120,0))))</f>
        <v/>
      </c>
    </row>
    <row r="121" spans="5:6" x14ac:dyDescent="0.3">
      <c r="E121" s="10" t="str">
        <f t="shared" si="1"/>
        <v/>
      </c>
      <c r="F121" s="10" t="str">
        <f>IF($A121="","",IF(ISNA(MATCH($B121,Artikel!$B:$B,0)),"ohne Artikel",IF(N($E121)=0,"",ROUNDDOWN(INDEX(Artikel!$K:$K,MATCH($B121,Artikel!$B:$B,0))/$E121,0))))</f>
        <v/>
      </c>
    </row>
    <row r="122" spans="5:6" x14ac:dyDescent="0.3">
      <c r="E122" s="10" t="str">
        <f t="shared" si="1"/>
        <v/>
      </c>
      <c r="F122" s="10" t="str">
        <f>IF($A122="","",IF(ISNA(MATCH($B122,Artikel!$B:$B,0)),"ohne Artikel",IF(N($E122)=0,"",ROUNDDOWN(INDEX(Artikel!$K:$K,MATCH($B122,Artikel!$B:$B,0))/$E122,0))))</f>
        <v/>
      </c>
    </row>
    <row r="123" spans="5:6" x14ac:dyDescent="0.3">
      <c r="E123" s="10" t="str">
        <f t="shared" si="1"/>
        <v/>
      </c>
      <c r="F123" s="10" t="str">
        <f>IF($A123="","",IF(ISNA(MATCH($B123,Artikel!$B:$B,0)),"ohne Artikel",IF(N($E123)=0,"",ROUNDDOWN(INDEX(Artikel!$K:$K,MATCH($B123,Artikel!$B:$B,0))/$E123,0))))</f>
        <v/>
      </c>
    </row>
    <row r="124" spans="5:6" x14ac:dyDescent="0.3">
      <c r="E124" s="10" t="str">
        <f t="shared" si="1"/>
        <v/>
      </c>
      <c r="F124" s="10" t="str">
        <f>IF($A124="","",IF(ISNA(MATCH($B124,Artikel!$B:$B,0)),"ohne Artikel",IF(N($E124)=0,"",ROUNDDOWN(INDEX(Artikel!$K:$K,MATCH($B124,Artikel!$B:$B,0))/$E124,0))))</f>
        <v/>
      </c>
    </row>
    <row r="125" spans="5:6" x14ac:dyDescent="0.3">
      <c r="E125" s="10" t="str">
        <f t="shared" si="1"/>
        <v/>
      </c>
      <c r="F125" s="10" t="str">
        <f>IF($A125="","",IF(ISNA(MATCH($B125,Artikel!$B:$B,0)),"ohne Artikel",IF(N($E125)=0,"",ROUNDDOWN(INDEX(Artikel!$K:$K,MATCH($B125,Artikel!$B:$B,0))/$E125,0))))</f>
        <v/>
      </c>
    </row>
    <row r="126" spans="5:6" x14ac:dyDescent="0.3">
      <c r="E126" s="10" t="str">
        <f t="shared" si="1"/>
        <v/>
      </c>
      <c r="F126" s="10" t="str">
        <f>IF($A126="","",IF(ISNA(MATCH($B126,Artikel!$B:$B,0)),"ohne Artikel",IF(N($E126)=0,"",ROUNDDOWN(INDEX(Artikel!$K:$K,MATCH($B126,Artikel!$B:$B,0))/$E126,0))))</f>
        <v/>
      </c>
    </row>
    <row r="127" spans="5:6" x14ac:dyDescent="0.3">
      <c r="E127" s="10" t="str">
        <f t="shared" si="1"/>
        <v/>
      </c>
      <c r="F127" s="10" t="str">
        <f>IF($A127="","",IF(ISNA(MATCH($B127,Artikel!$B:$B,0)),"ohne Artikel",IF(N($E127)=0,"",ROUNDDOWN(INDEX(Artikel!$K:$K,MATCH($B127,Artikel!$B:$B,0))/$E127,0))))</f>
        <v/>
      </c>
    </row>
    <row r="128" spans="5:6" x14ac:dyDescent="0.3">
      <c r="E128" s="10" t="str">
        <f t="shared" si="1"/>
        <v/>
      </c>
      <c r="F128" s="10" t="str">
        <f>IF($A128="","",IF(ISNA(MATCH($B128,Artikel!$B:$B,0)),"ohne Artikel",IF(N($E128)=0,"",ROUNDDOWN(INDEX(Artikel!$K:$K,MATCH($B128,Artikel!$B:$B,0))/$E128,0))))</f>
        <v/>
      </c>
    </row>
    <row r="129" spans="5:6" x14ac:dyDescent="0.3">
      <c r="E129" s="10" t="str">
        <f t="shared" si="1"/>
        <v/>
      </c>
      <c r="F129" s="10" t="str">
        <f>IF($A129="","",IF(ISNA(MATCH($B129,Artikel!$B:$B,0)),"ohne Artikel",IF(N($E129)=0,"",ROUNDDOWN(INDEX(Artikel!$K:$K,MATCH($B129,Artikel!$B:$B,0))/$E129,0))))</f>
        <v/>
      </c>
    </row>
    <row r="130" spans="5:6" x14ac:dyDescent="0.3">
      <c r="E130" s="10" t="str">
        <f t="shared" ref="E130:E193" si="2">IF($A130="","",$C130*IF($D130="cl",10,IF(OR($D130="l",$D130="kg"),1000,1)))</f>
        <v/>
      </c>
      <c r="F130" s="10" t="str">
        <f>IF($A130="","",IF(ISNA(MATCH($B130,Artikel!$B:$B,0)),"ohne Artikel",IF(N($E130)=0,"",ROUNDDOWN(INDEX(Artikel!$K:$K,MATCH($B130,Artikel!$B:$B,0))/$E130,0))))</f>
        <v/>
      </c>
    </row>
    <row r="131" spans="5:6" x14ac:dyDescent="0.3">
      <c r="E131" s="10" t="str">
        <f t="shared" si="2"/>
        <v/>
      </c>
      <c r="F131" s="10" t="str">
        <f>IF($A131="","",IF(ISNA(MATCH($B131,Artikel!$B:$B,0)),"ohne Artikel",IF(N($E131)=0,"",ROUNDDOWN(INDEX(Artikel!$K:$K,MATCH($B131,Artikel!$B:$B,0))/$E131,0))))</f>
        <v/>
      </c>
    </row>
    <row r="132" spans="5:6" x14ac:dyDescent="0.3">
      <c r="E132" s="10" t="str">
        <f t="shared" si="2"/>
        <v/>
      </c>
      <c r="F132" s="10" t="str">
        <f>IF($A132="","",IF(ISNA(MATCH($B132,Artikel!$B:$B,0)),"ohne Artikel",IF(N($E132)=0,"",ROUNDDOWN(INDEX(Artikel!$K:$K,MATCH($B132,Artikel!$B:$B,0))/$E132,0))))</f>
        <v/>
      </c>
    </row>
    <row r="133" spans="5:6" x14ac:dyDescent="0.3">
      <c r="E133" s="10" t="str">
        <f t="shared" si="2"/>
        <v/>
      </c>
      <c r="F133" s="10" t="str">
        <f>IF($A133="","",IF(ISNA(MATCH($B133,Artikel!$B:$B,0)),"ohne Artikel",IF(N($E133)=0,"",ROUNDDOWN(INDEX(Artikel!$K:$K,MATCH($B133,Artikel!$B:$B,0))/$E133,0))))</f>
        <v/>
      </c>
    </row>
    <row r="134" spans="5:6" x14ac:dyDescent="0.3">
      <c r="E134" s="10" t="str">
        <f t="shared" si="2"/>
        <v/>
      </c>
      <c r="F134" s="10" t="str">
        <f>IF($A134="","",IF(ISNA(MATCH($B134,Artikel!$B:$B,0)),"ohne Artikel",IF(N($E134)=0,"",ROUNDDOWN(INDEX(Artikel!$K:$K,MATCH($B134,Artikel!$B:$B,0))/$E134,0))))</f>
        <v/>
      </c>
    </row>
    <row r="135" spans="5:6" x14ac:dyDescent="0.3">
      <c r="E135" s="10" t="str">
        <f t="shared" si="2"/>
        <v/>
      </c>
      <c r="F135" s="10" t="str">
        <f>IF($A135="","",IF(ISNA(MATCH($B135,Artikel!$B:$B,0)),"ohne Artikel",IF(N($E135)=0,"",ROUNDDOWN(INDEX(Artikel!$K:$K,MATCH($B135,Artikel!$B:$B,0))/$E135,0))))</f>
        <v/>
      </c>
    </row>
    <row r="136" spans="5:6" x14ac:dyDescent="0.3">
      <c r="E136" s="10" t="str">
        <f t="shared" si="2"/>
        <v/>
      </c>
      <c r="F136" s="10" t="str">
        <f>IF($A136="","",IF(ISNA(MATCH($B136,Artikel!$B:$B,0)),"ohne Artikel",IF(N($E136)=0,"",ROUNDDOWN(INDEX(Artikel!$K:$K,MATCH($B136,Artikel!$B:$B,0))/$E136,0))))</f>
        <v/>
      </c>
    </row>
    <row r="137" spans="5:6" x14ac:dyDescent="0.3">
      <c r="E137" s="10" t="str">
        <f t="shared" si="2"/>
        <v/>
      </c>
      <c r="F137" s="10" t="str">
        <f>IF($A137="","",IF(ISNA(MATCH($B137,Artikel!$B:$B,0)),"ohne Artikel",IF(N($E137)=0,"",ROUNDDOWN(INDEX(Artikel!$K:$K,MATCH($B137,Artikel!$B:$B,0))/$E137,0))))</f>
        <v/>
      </c>
    </row>
    <row r="138" spans="5:6" x14ac:dyDescent="0.3">
      <c r="E138" s="10" t="str">
        <f t="shared" si="2"/>
        <v/>
      </c>
      <c r="F138" s="10" t="str">
        <f>IF($A138="","",IF(ISNA(MATCH($B138,Artikel!$B:$B,0)),"ohne Artikel",IF(N($E138)=0,"",ROUNDDOWN(INDEX(Artikel!$K:$K,MATCH($B138,Artikel!$B:$B,0))/$E138,0))))</f>
        <v/>
      </c>
    </row>
    <row r="139" spans="5:6" x14ac:dyDescent="0.3">
      <c r="E139" s="10" t="str">
        <f t="shared" si="2"/>
        <v/>
      </c>
      <c r="F139" s="10" t="str">
        <f>IF($A139="","",IF(ISNA(MATCH($B139,Artikel!$B:$B,0)),"ohne Artikel",IF(N($E139)=0,"",ROUNDDOWN(INDEX(Artikel!$K:$K,MATCH($B139,Artikel!$B:$B,0))/$E139,0))))</f>
        <v/>
      </c>
    </row>
    <row r="140" spans="5:6" x14ac:dyDescent="0.3">
      <c r="E140" s="10" t="str">
        <f t="shared" si="2"/>
        <v/>
      </c>
      <c r="F140" s="10" t="str">
        <f>IF($A140="","",IF(ISNA(MATCH($B140,Artikel!$B:$B,0)),"ohne Artikel",IF(N($E140)=0,"",ROUNDDOWN(INDEX(Artikel!$K:$K,MATCH($B140,Artikel!$B:$B,0))/$E140,0))))</f>
        <v/>
      </c>
    </row>
    <row r="141" spans="5:6" x14ac:dyDescent="0.3">
      <c r="E141" s="10" t="str">
        <f t="shared" si="2"/>
        <v/>
      </c>
      <c r="F141" s="10" t="str">
        <f>IF($A141="","",IF(ISNA(MATCH($B141,Artikel!$B:$B,0)),"ohne Artikel",IF(N($E141)=0,"",ROUNDDOWN(INDEX(Artikel!$K:$K,MATCH($B141,Artikel!$B:$B,0))/$E141,0))))</f>
        <v/>
      </c>
    </row>
    <row r="142" spans="5:6" x14ac:dyDescent="0.3">
      <c r="E142" s="10" t="str">
        <f t="shared" si="2"/>
        <v/>
      </c>
      <c r="F142" s="10" t="str">
        <f>IF($A142="","",IF(ISNA(MATCH($B142,Artikel!$B:$B,0)),"ohne Artikel",IF(N($E142)=0,"",ROUNDDOWN(INDEX(Artikel!$K:$K,MATCH($B142,Artikel!$B:$B,0))/$E142,0))))</f>
        <v/>
      </c>
    </row>
    <row r="143" spans="5:6" x14ac:dyDescent="0.3">
      <c r="E143" s="10" t="str">
        <f t="shared" si="2"/>
        <v/>
      </c>
      <c r="F143" s="10" t="str">
        <f>IF($A143="","",IF(ISNA(MATCH($B143,Artikel!$B:$B,0)),"ohne Artikel",IF(N($E143)=0,"",ROUNDDOWN(INDEX(Artikel!$K:$K,MATCH($B143,Artikel!$B:$B,0))/$E143,0))))</f>
        <v/>
      </c>
    </row>
    <row r="144" spans="5:6" x14ac:dyDescent="0.3">
      <c r="E144" s="10" t="str">
        <f t="shared" si="2"/>
        <v/>
      </c>
      <c r="F144" s="10" t="str">
        <f>IF($A144="","",IF(ISNA(MATCH($B144,Artikel!$B:$B,0)),"ohne Artikel",IF(N($E144)=0,"",ROUNDDOWN(INDEX(Artikel!$K:$K,MATCH($B144,Artikel!$B:$B,0))/$E144,0))))</f>
        <v/>
      </c>
    </row>
    <row r="145" spans="5:6" x14ac:dyDescent="0.3">
      <c r="E145" s="10" t="str">
        <f t="shared" si="2"/>
        <v/>
      </c>
      <c r="F145" s="10" t="str">
        <f>IF($A145="","",IF(ISNA(MATCH($B145,Artikel!$B:$B,0)),"ohne Artikel",IF(N($E145)=0,"",ROUNDDOWN(INDEX(Artikel!$K:$K,MATCH($B145,Artikel!$B:$B,0))/$E145,0))))</f>
        <v/>
      </c>
    </row>
    <row r="146" spans="5:6" x14ac:dyDescent="0.3">
      <c r="E146" s="10" t="str">
        <f t="shared" si="2"/>
        <v/>
      </c>
      <c r="F146" s="10" t="str">
        <f>IF($A146="","",IF(ISNA(MATCH($B146,Artikel!$B:$B,0)),"ohne Artikel",IF(N($E146)=0,"",ROUNDDOWN(INDEX(Artikel!$K:$K,MATCH($B146,Artikel!$B:$B,0))/$E146,0))))</f>
        <v/>
      </c>
    </row>
    <row r="147" spans="5:6" x14ac:dyDescent="0.3">
      <c r="E147" s="10" t="str">
        <f t="shared" si="2"/>
        <v/>
      </c>
      <c r="F147" s="10" t="str">
        <f>IF($A147="","",IF(ISNA(MATCH($B147,Artikel!$B:$B,0)),"ohne Artikel",IF(N($E147)=0,"",ROUNDDOWN(INDEX(Artikel!$K:$K,MATCH($B147,Artikel!$B:$B,0))/$E147,0))))</f>
        <v/>
      </c>
    </row>
    <row r="148" spans="5:6" x14ac:dyDescent="0.3">
      <c r="E148" s="10" t="str">
        <f t="shared" si="2"/>
        <v/>
      </c>
      <c r="F148" s="10" t="str">
        <f>IF($A148="","",IF(ISNA(MATCH($B148,Artikel!$B:$B,0)),"ohne Artikel",IF(N($E148)=0,"",ROUNDDOWN(INDEX(Artikel!$K:$K,MATCH($B148,Artikel!$B:$B,0))/$E148,0))))</f>
        <v/>
      </c>
    </row>
    <row r="149" spans="5:6" x14ac:dyDescent="0.3">
      <c r="E149" s="10" t="str">
        <f t="shared" si="2"/>
        <v/>
      </c>
      <c r="F149" s="10" t="str">
        <f>IF($A149="","",IF(ISNA(MATCH($B149,Artikel!$B:$B,0)),"ohne Artikel",IF(N($E149)=0,"",ROUNDDOWN(INDEX(Artikel!$K:$K,MATCH($B149,Artikel!$B:$B,0))/$E149,0))))</f>
        <v/>
      </c>
    </row>
    <row r="150" spans="5:6" x14ac:dyDescent="0.3">
      <c r="E150" s="10" t="str">
        <f t="shared" si="2"/>
        <v/>
      </c>
      <c r="F150" s="10" t="str">
        <f>IF($A150="","",IF(ISNA(MATCH($B150,Artikel!$B:$B,0)),"ohne Artikel",IF(N($E150)=0,"",ROUNDDOWN(INDEX(Artikel!$K:$K,MATCH($B150,Artikel!$B:$B,0))/$E150,0))))</f>
        <v/>
      </c>
    </row>
    <row r="151" spans="5:6" x14ac:dyDescent="0.3">
      <c r="E151" s="10" t="str">
        <f t="shared" si="2"/>
        <v/>
      </c>
      <c r="F151" s="10" t="str">
        <f>IF($A151="","",IF(ISNA(MATCH($B151,Artikel!$B:$B,0)),"ohne Artikel",IF(N($E151)=0,"",ROUNDDOWN(INDEX(Artikel!$K:$K,MATCH($B151,Artikel!$B:$B,0))/$E151,0))))</f>
        <v/>
      </c>
    </row>
    <row r="152" spans="5:6" x14ac:dyDescent="0.3">
      <c r="E152" s="10" t="str">
        <f t="shared" si="2"/>
        <v/>
      </c>
      <c r="F152" s="10" t="str">
        <f>IF($A152="","",IF(ISNA(MATCH($B152,Artikel!$B:$B,0)),"ohne Artikel",IF(N($E152)=0,"",ROUNDDOWN(INDEX(Artikel!$K:$K,MATCH($B152,Artikel!$B:$B,0))/$E152,0))))</f>
        <v/>
      </c>
    </row>
    <row r="153" spans="5:6" x14ac:dyDescent="0.3">
      <c r="E153" s="10" t="str">
        <f t="shared" si="2"/>
        <v/>
      </c>
      <c r="F153" s="10" t="str">
        <f>IF($A153="","",IF(ISNA(MATCH($B153,Artikel!$B:$B,0)),"ohne Artikel",IF(N($E153)=0,"",ROUNDDOWN(INDEX(Artikel!$K:$K,MATCH($B153,Artikel!$B:$B,0))/$E153,0))))</f>
        <v/>
      </c>
    </row>
    <row r="154" spans="5:6" x14ac:dyDescent="0.3">
      <c r="E154" s="10" t="str">
        <f t="shared" si="2"/>
        <v/>
      </c>
      <c r="F154" s="10" t="str">
        <f>IF($A154="","",IF(ISNA(MATCH($B154,Artikel!$B:$B,0)),"ohne Artikel",IF(N($E154)=0,"",ROUNDDOWN(INDEX(Artikel!$K:$K,MATCH($B154,Artikel!$B:$B,0))/$E154,0))))</f>
        <v/>
      </c>
    </row>
    <row r="155" spans="5:6" x14ac:dyDescent="0.3">
      <c r="E155" s="10" t="str">
        <f t="shared" si="2"/>
        <v/>
      </c>
      <c r="F155" s="10" t="str">
        <f>IF($A155="","",IF(ISNA(MATCH($B155,Artikel!$B:$B,0)),"ohne Artikel",IF(N($E155)=0,"",ROUNDDOWN(INDEX(Artikel!$K:$K,MATCH($B155,Artikel!$B:$B,0))/$E155,0))))</f>
        <v/>
      </c>
    </row>
    <row r="156" spans="5:6" x14ac:dyDescent="0.3">
      <c r="E156" s="10" t="str">
        <f t="shared" si="2"/>
        <v/>
      </c>
      <c r="F156" s="10" t="str">
        <f>IF($A156="","",IF(ISNA(MATCH($B156,Artikel!$B:$B,0)),"ohne Artikel",IF(N($E156)=0,"",ROUNDDOWN(INDEX(Artikel!$K:$K,MATCH($B156,Artikel!$B:$B,0))/$E156,0))))</f>
        <v/>
      </c>
    </row>
    <row r="157" spans="5:6" x14ac:dyDescent="0.3">
      <c r="E157" s="10" t="str">
        <f t="shared" si="2"/>
        <v/>
      </c>
      <c r="F157" s="10" t="str">
        <f>IF($A157="","",IF(ISNA(MATCH($B157,Artikel!$B:$B,0)),"ohne Artikel",IF(N($E157)=0,"",ROUNDDOWN(INDEX(Artikel!$K:$K,MATCH($B157,Artikel!$B:$B,0))/$E157,0))))</f>
        <v/>
      </c>
    </row>
    <row r="158" spans="5:6" x14ac:dyDescent="0.3">
      <c r="E158" s="10" t="str">
        <f t="shared" si="2"/>
        <v/>
      </c>
      <c r="F158" s="10" t="str">
        <f>IF($A158="","",IF(ISNA(MATCH($B158,Artikel!$B:$B,0)),"ohne Artikel",IF(N($E158)=0,"",ROUNDDOWN(INDEX(Artikel!$K:$K,MATCH($B158,Artikel!$B:$B,0))/$E158,0))))</f>
        <v/>
      </c>
    </row>
    <row r="159" spans="5:6" x14ac:dyDescent="0.3">
      <c r="E159" s="10" t="str">
        <f t="shared" si="2"/>
        <v/>
      </c>
      <c r="F159" s="10" t="str">
        <f>IF($A159="","",IF(ISNA(MATCH($B159,Artikel!$B:$B,0)),"ohne Artikel",IF(N($E159)=0,"",ROUNDDOWN(INDEX(Artikel!$K:$K,MATCH($B159,Artikel!$B:$B,0))/$E159,0))))</f>
        <v/>
      </c>
    </row>
    <row r="160" spans="5:6" x14ac:dyDescent="0.3">
      <c r="E160" s="10" t="str">
        <f t="shared" si="2"/>
        <v/>
      </c>
      <c r="F160" s="10" t="str">
        <f>IF($A160="","",IF(ISNA(MATCH($B160,Artikel!$B:$B,0)),"ohne Artikel",IF(N($E160)=0,"",ROUNDDOWN(INDEX(Artikel!$K:$K,MATCH($B160,Artikel!$B:$B,0))/$E160,0))))</f>
        <v/>
      </c>
    </row>
    <row r="161" spans="5:6" x14ac:dyDescent="0.3">
      <c r="E161" s="10" t="str">
        <f t="shared" si="2"/>
        <v/>
      </c>
      <c r="F161" s="10" t="str">
        <f>IF($A161="","",IF(ISNA(MATCH($B161,Artikel!$B:$B,0)),"ohne Artikel",IF(N($E161)=0,"",ROUNDDOWN(INDEX(Artikel!$K:$K,MATCH($B161,Artikel!$B:$B,0))/$E161,0))))</f>
        <v/>
      </c>
    </row>
    <row r="162" spans="5:6" x14ac:dyDescent="0.3">
      <c r="E162" s="10" t="str">
        <f t="shared" si="2"/>
        <v/>
      </c>
      <c r="F162" s="10" t="str">
        <f>IF($A162="","",IF(ISNA(MATCH($B162,Artikel!$B:$B,0)),"ohne Artikel",IF(N($E162)=0,"",ROUNDDOWN(INDEX(Artikel!$K:$K,MATCH($B162,Artikel!$B:$B,0))/$E162,0))))</f>
        <v/>
      </c>
    </row>
    <row r="163" spans="5:6" x14ac:dyDescent="0.3">
      <c r="E163" s="10" t="str">
        <f t="shared" si="2"/>
        <v/>
      </c>
      <c r="F163" s="10" t="str">
        <f>IF($A163="","",IF(ISNA(MATCH($B163,Artikel!$B:$B,0)),"ohne Artikel",IF(N($E163)=0,"",ROUNDDOWN(INDEX(Artikel!$K:$K,MATCH($B163,Artikel!$B:$B,0))/$E163,0))))</f>
        <v/>
      </c>
    </row>
    <row r="164" spans="5:6" x14ac:dyDescent="0.3">
      <c r="E164" s="10" t="str">
        <f t="shared" si="2"/>
        <v/>
      </c>
      <c r="F164" s="10" t="str">
        <f>IF($A164="","",IF(ISNA(MATCH($B164,Artikel!$B:$B,0)),"ohne Artikel",IF(N($E164)=0,"",ROUNDDOWN(INDEX(Artikel!$K:$K,MATCH($B164,Artikel!$B:$B,0))/$E164,0))))</f>
        <v/>
      </c>
    </row>
    <row r="165" spans="5:6" x14ac:dyDescent="0.3">
      <c r="E165" s="10" t="str">
        <f t="shared" si="2"/>
        <v/>
      </c>
      <c r="F165" s="10" t="str">
        <f>IF($A165="","",IF(ISNA(MATCH($B165,Artikel!$B:$B,0)),"ohne Artikel",IF(N($E165)=0,"",ROUNDDOWN(INDEX(Artikel!$K:$K,MATCH($B165,Artikel!$B:$B,0))/$E165,0))))</f>
        <v/>
      </c>
    </row>
    <row r="166" spans="5:6" x14ac:dyDescent="0.3">
      <c r="E166" s="10" t="str">
        <f t="shared" si="2"/>
        <v/>
      </c>
      <c r="F166" s="10" t="str">
        <f>IF($A166="","",IF(ISNA(MATCH($B166,Artikel!$B:$B,0)),"ohne Artikel",IF(N($E166)=0,"",ROUNDDOWN(INDEX(Artikel!$K:$K,MATCH($B166,Artikel!$B:$B,0))/$E166,0))))</f>
        <v/>
      </c>
    </row>
    <row r="167" spans="5:6" x14ac:dyDescent="0.3">
      <c r="E167" s="10" t="str">
        <f t="shared" si="2"/>
        <v/>
      </c>
      <c r="F167" s="10" t="str">
        <f>IF($A167="","",IF(ISNA(MATCH($B167,Artikel!$B:$B,0)),"ohne Artikel",IF(N($E167)=0,"",ROUNDDOWN(INDEX(Artikel!$K:$K,MATCH($B167,Artikel!$B:$B,0))/$E167,0))))</f>
        <v/>
      </c>
    </row>
    <row r="168" spans="5:6" x14ac:dyDescent="0.3">
      <c r="E168" s="10" t="str">
        <f t="shared" si="2"/>
        <v/>
      </c>
      <c r="F168" s="10" t="str">
        <f>IF($A168="","",IF(ISNA(MATCH($B168,Artikel!$B:$B,0)),"ohne Artikel",IF(N($E168)=0,"",ROUNDDOWN(INDEX(Artikel!$K:$K,MATCH($B168,Artikel!$B:$B,0))/$E168,0))))</f>
        <v/>
      </c>
    </row>
    <row r="169" spans="5:6" x14ac:dyDescent="0.3">
      <c r="E169" s="10" t="str">
        <f t="shared" si="2"/>
        <v/>
      </c>
      <c r="F169" s="10" t="str">
        <f>IF($A169="","",IF(ISNA(MATCH($B169,Artikel!$B:$B,0)),"ohne Artikel",IF(N($E169)=0,"",ROUNDDOWN(INDEX(Artikel!$K:$K,MATCH($B169,Artikel!$B:$B,0))/$E169,0))))</f>
        <v/>
      </c>
    </row>
    <row r="170" spans="5:6" x14ac:dyDescent="0.3">
      <c r="E170" s="10" t="str">
        <f t="shared" si="2"/>
        <v/>
      </c>
      <c r="F170" s="10" t="str">
        <f>IF($A170="","",IF(ISNA(MATCH($B170,Artikel!$B:$B,0)),"ohne Artikel",IF(N($E170)=0,"",ROUNDDOWN(INDEX(Artikel!$K:$K,MATCH($B170,Artikel!$B:$B,0))/$E170,0))))</f>
        <v/>
      </c>
    </row>
    <row r="171" spans="5:6" x14ac:dyDescent="0.3">
      <c r="E171" s="10" t="str">
        <f t="shared" si="2"/>
        <v/>
      </c>
      <c r="F171" s="10" t="str">
        <f>IF($A171="","",IF(ISNA(MATCH($B171,Artikel!$B:$B,0)),"ohne Artikel",IF(N($E171)=0,"",ROUNDDOWN(INDEX(Artikel!$K:$K,MATCH($B171,Artikel!$B:$B,0))/$E171,0))))</f>
        <v/>
      </c>
    </row>
    <row r="172" spans="5:6" x14ac:dyDescent="0.3">
      <c r="E172" s="10" t="str">
        <f t="shared" si="2"/>
        <v/>
      </c>
      <c r="F172" s="10" t="str">
        <f>IF($A172="","",IF(ISNA(MATCH($B172,Artikel!$B:$B,0)),"ohne Artikel",IF(N($E172)=0,"",ROUNDDOWN(INDEX(Artikel!$K:$K,MATCH($B172,Artikel!$B:$B,0))/$E172,0))))</f>
        <v/>
      </c>
    </row>
    <row r="173" spans="5:6" x14ac:dyDescent="0.3">
      <c r="E173" s="10" t="str">
        <f t="shared" si="2"/>
        <v/>
      </c>
      <c r="F173" s="10" t="str">
        <f>IF($A173="","",IF(ISNA(MATCH($B173,Artikel!$B:$B,0)),"ohne Artikel",IF(N($E173)=0,"",ROUNDDOWN(INDEX(Artikel!$K:$K,MATCH($B173,Artikel!$B:$B,0))/$E173,0))))</f>
        <v/>
      </c>
    </row>
    <row r="174" spans="5:6" x14ac:dyDescent="0.3">
      <c r="E174" s="10" t="str">
        <f t="shared" si="2"/>
        <v/>
      </c>
      <c r="F174" s="10" t="str">
        <f>IF($A174="","",IF(ISNA(MATCH($B174,Artikel!$B:$B,0)),"ohne Artikel",IF(N($E174)=0,"",ROUNDDOWN(INDEX(Artikel!$K:$K,MATCH($B174,Artikel!$B:$B,0))/$E174,0))))</f>
        <v/>
      </c>
    </row>
    <row r="175" spans="5:6" x14ac:dyDescent="0.3">
      <c r="E175" s="10" t="str">
        <f t="shared" si="2"/>
        <v/>
      </c>
      <c r="F175" s="10" t="str">
        <f>IF($A175="","",IF(ISNA(MATCH($B175,Artikel!$B:$B,0)),"ohne Artikel",IF(N($E175)=0,"",ROUNDDOWN(INDEX(Artikel!$K:$K,MATCH($B175,Artikel!$B:$B,0))/$E175,0))))</f>
        <v/>
      </c>
    </row>
    <row r="176" spans="5:6" x14ac:dyDescent="0.3">
      <c r="E176" s="10" t="str">
        <f t="shared" si="2"/>
        <v/>
      </c>
      <c r="F176" s="10" t="str">
        <f>IF($A176="","",IF(ISNA(MATCH($B176,Artikel!$B:$B,0)),"ohne Artikel",IF(N($E176)=0,"",ROUNDDOWN(INDEX(Artikel!$K:$K,MATCH($B176,Artikel!$B:$B,0))/$E176,0))))</f>
        <v/>
      </c>
    </row>
    <row r="177" spans="5:6" x14ac:dyDescent="0.3">
      <c r="E177" s="10" t="str">
        <f t="shared" si="2"/>
        <v/>
      </c>
      <c r="F177" s="10" t="str">
        <f>IF($A177="","",IF(ISNA(MATCH($B177,Artikel!$B:$B,0)),"ohne Artikel",IF(N($E177)=0,"",ROUNDDOWN(INDEX(Artikel!$K:$K,MATCH($B177,Artikel!$B:$B,0))/$E177,0))))</f>
        <v/>
      </c>
    </row>
    <row r="178" spans="5:6" x14ac:dyDescent="0.3">
      <c r="E178" s="10" t="str">
        <f t="shared" si="2"/>
        <v/>
      </c>
      <c r="F178" s="10" t="str">
        <f>IF($A178="","",IF(ISNA(MATCH($B178,Artikel!$B:$B,0)),"ohne Artikel",IF(N($E178)=0,"",ROUNDDOWN(INDEX(Artikel!$K:$K,MATCH($B178,Artikel!$B:$B,0))/$E178,0))))</f>
        <v/>
      </c>
    </row>
    <row r="179" spans="5:6" x14ac:dyDescent="0.3">
      <c r="E179" s="10" t="str">
        <f t="shared" si="2"/>
        <v/>
      </c>
      <c r="F179" s="10" t="str">
        <f>IF($A179="","",IF(ISNA(MATCH($B179,Artikel!$B:$B,0)),"ohne Artikel",IF(N($E179)=0,"",ROUNDDOWN(INDEX(Artikel!$K:$K,MATCH($B179,Artikel!$B:$B,0))/$E179,0))))</f>
        <v/>
      </c>
    </row>
    <row r="180" spans="5:6" x14ac:dyDescent="0.3">
      <c r="E180" s="10" t="str">
        <f t="shared" si="2"/>
        <v/>
      </c>
      <c r="F180" s="10" t="str">
        <f>IF($A180="","",IF(ISNA(MATCH($B180,Artikel!$B:$B,0)),"ohne Artikel",IF(N($E180)=0,"",ROUNDDOWN(INDEX(Artikel!$K:$K,MATCH($B180,Artikel!$B:$B,0))/$E180,0))))</f>
        <v/>
      </c>
    </row>
    <row r="181" spans="5:6" x14ac:dyDescent="0.3">
      <c r="E181" s="10" t="str">
        <f t="shared" si="2"/>
        <v/>
      </c>
      <c r="F181" s="10" t="str">
        <f>IF($A181="","",IF(ISNA(MATCH($B181,Artikel!$B:$B,0)),"ohne Artikel",IF(N($E181)=0,"",ROUNDDOWN(INDEX(Artikel!$K:$K,MATCH($B181,Artikel!$B:$B,0))/$E181,0))))</f>
        <v/>
      </c>
    </row>
    <row r="182" spans="5:6" x14ac:dyDescent="0.3">
      <c r="E182" s="10" t="str">
        <f t="shared" si="2"/>
        <v/>
      </c>
      <c r="F182" s="10" t="str">
        <f>IF($A182="","",IF(ISNA(MATCH($B182,Artikel!$B:$B,0)),"ohne Artikel",IF(N($E182)=0,"",ROUNDDOWN(INDEX(Artikel!$K:$K,MATCH($B182,Artikel!$B:$B,0))/$E182,0))))</f>
        <v/>
      </c>
    </row>
    <row r="183" spans="5:6" x14ac:dyDescent="0.3">
      <c r="E183" s="10" t="str">
        <f t="shared" si="2"/>
        <v/>
      </c>
      <c r="F183" s="10" t="str">
        <f>IF($A183="","",IF(ISNA(MATCH($B183,Artikel!$B:$B,0)),"ohne Artikel",IF(N($E183)=0,"",ROUNDDOWN(INDEX(Artikel!$K:$K,MATCH($B183,Artikel!$B:$B,0))/$E183,0))))</f>
        <v/>
      </c>
    </row>
    <row r="184" spans="5:6" x14ac:dyDescent="0.3">
      <c r="E184" s="10" t="str">
        <f t="shared" si="2"/>
        <v/>
      </c>
      <c r="F184" s="10" t="str">
        <f>IF($A184="","",IF(ISNA(MATCH($B184,Artikel!$B:$B,0)),"ohne Artikel",IF(N($E184)=0,"",ROUNDDOWN(INDEX(Artikel!$K:$K,MATCH($B184,Artikel!$B:$B,0))/$E184,0))))</f>
        <v/>
      </c>
    </row>
    <row r="185" spans="5:6" x14ac:dyDescent="0.3">
      <c r="E185" s="10" t="str">
        <f t="shared" si="2"/>
        <v/>
      </c>
      <c r="F185" s="10" t="str">
        <f>IF($A185="","",IF(ISNA(MATCH($B185,Artikel!$B:$B,0)),"ohne Artikel",IF(N($E185)=0,"",ROUNDDOWN(INDEX(Artikel!$K:$K,MATCH($B185,Artikel!$B:$B,0))/$E185,0))))</f>
        <v/>
      </c>
    </row>
    <row r="186" spans="5:6" x14ac:dyDescent="0.3">
      <c r="E186" s="10" t="str">
        <f t="shared" si="2"/>
        <v/>
      </c>
      <c r="F186" s="10" t="str">
        <f>IF($A186="","",IF(ISNA(MATCH($B186,Artikel!$B:$B,0)),"ohne Artikel",IF(N($E186)=0,"",ROUNDDOWN(INDEX(Artikel!$K:$K,MATCH($B186,Artikel!$B:$B,0))/$E186,0))))</f>
        <v/>
      </c>
    </row>
    <row r="187" spans="5:6" x14ac:dyDescent="0.3">
      <c r="E187" s="10" t="str">
        <f t="shared" si="2"/>
        <v/>
      </c>
      <c r="F187" s="10" t="str">
        <f>IF($A187="","",IF(ISNA(MATCH($B187,Artikel!$B:$B,0)),"ohne Artikel",IF(N($E187)=0,"",ROUNDDOWN(INDEX(Artikel!$K:$K,MATCH($B187,Artikel!$B:$B,0))/$E187,0))))</f>
        <v/>
      </c>
    </row>
    <row r="188" spans="5:6" x14ac:dyDescent="0.3">
      <c r="E188" s="10" t="str">
        <f t="shared" si="2"/>
        <v/>
      </c>
      <c r="F188" s="10" t="str">
        <f>IF($A188="","",IF(ISNA(MATCH($B188,Artikel!$B:$B,0)),"ohne Artikel",IF(N($E188)=0,"",ROUNDDOWN(INDEX(Artikel!$K:$K,MATCH($B188,Artikel!$B:$B,0))/$E188,0))))</f>
        <v/>
      </c>
    </row>
    <row r="189" spans="5:6" x14ac:dyDescent="0.3">
      <c r="E189" s="10" t="str">
        <f t="shared" si="2"/>
        <v/>
      </c>
      <c r="F189" s="10" t="str">
        <f>IF($A189="","",IF(ISNA(MATCH($B189,Artikel!$B:$B,0)),"ohne Artikel",IF(N($E189)=0,"",ROUNDDOWN(INDEX(Artikel!$K:$K,MATCH($B189,Artikel!$B:$B,0))/$E189,0))))</f>
        <v/>
      </c>
    </row>
    <row r="190" spans="5:6" x14ac:dyDescent="0.3">
      <c r="E190" s="10" t="str">
        <f t="shared" si="2"/>
        <v/>
      </c>
      <c r="F190" s="10" t="str">
        <f>IF($A190="","",IF(ISNA(MATCH($B190,Artikel!$B:$B,0)),"ohne Artikel",IF(N($E190)=0,"",ROUNDDOWN(INDEX(Artikel!$K:$K,MATCH($B190,Artikel!$B:$B,0))/$E190,0))))</f>
        <v/>
      </c>
    </row>
    <row r="191" spans="5:6" x14ac:dyDescent="0.3">
      <c r="E191" s="10" t="str">
        <f t="shared" si="2"/>
        <v/>
      </c>
      <c r="F191" s="10" t="str">
        <f>IF($A191="","",IF(ISNA(MATCH($B191,Artikel!$B:$B,0)),"ohne Artikel",IF(N($E191)=0,"",ROUNDDOWN(INDEX(Artikel!$K:$K,MATCH($B191,Artikel!$B:$B,0))/$E191,0))))</f>
        <v/>
      </c>
    </row>
    <row r="192" spans="5:6" x14ac:dyDescent="0.3">
      <c r="E192" s="10" t="str">
        <f t="shared" si="2"/>
        <v/>
      </c>
      <c r="F192" s="10" t="str">
        <f>IF($A192="","",IF(ISNA(MATCH($B192,Artikel!$B:$B,0)),"ohne Artikel",IF(N($E192)=0,"",ROUNDDOWN(INDEX(Artikel!$K:$K,MATCH($B192,Artikel!$B:$B,0))/$E192,0))))</f>
        <v/>
      </c>
    </row>
    <row r="193" spans="5:6" x14ac:dyDescent="0.3">
      <c r="E193" s="10" t="str">
        <f t="shared" si="2"/>
        <v/>
      </c>
      <c r="F193" s="10" t="str">
        <f>IF($A193="","",IF(ISNA(MATCH($B193,Artikel!$B:$B,0)),"ohne Artikel",IF(N($E193)=0,"",ROUNDDOWN(INDEX(Artikel!$K:$K,MATCH($B193,Artikel!$B:$B,0))/$E193,0))))</f>
        <v/>
      </c>
    </row>
    <row r="194" spans="5:6" x14ac:dyDescent="0.3">
      <c r="E194" s="10" t="str">
        <f t="shared" ref="E194:E257" si="3">IF($A194="","",$C194*IF($D194="cl",10,IF(OR($D194="l",$D194="kg"),1000,1)))</f>
        <v/>
      </c>
      <c r="F194" s="10" t="str">
        <f>IF($A194="","",IF(ISNA(MATCH($B194,Artikel!$B:$B,0)),"ohne Artikel",IF(N($E194)=0,"",ROUNDDOWN(INDEX(Artikel!$K:$K,MATCH($B194,Artikel!$B:$B,0))/$E194,0))))</f>
        <v/>
      </c>
    </row>
    <row r="195" spans="5:6" x14ac:dyDescent="0.3">
      <c r="E195" s="10" t="str">
        <f t="shared" si="3"/>
        <v/>
      </c>
      <c r="F195" s="10" t="str">
        <f>IF($A195="","",IF(ISNA(MATCH($B195,Artikel!$B:$B,0)),"ohne Artikel",IF(N($E195)=0,"",ROUNDDOWN(INDEX(Artikel!$K:$K,MATCH($B195,Artikel!$B:$B,0))/$E195,0))))</f>
        <v/>
      </c>
    </row>
    <row r="196" spans="5:6" x14ac:dyDescent="0.3">
      <c r="E196" s="10" t="str">
        <f t="shared" si="3"/>
        <v/>
      </c>
      <c r="F196" s="10" t="str">
        <f>IF($A196="","",IF(ISNA(MATCH($B196,Artikel!$B:$B,0)),"ohne Artikel",IF(N($E196)=0,"",ROUNDDOWN(INDEX(Artikel!$K:$K,MATCH($B196,Artikel!$B:$B,0))/$E196,0))))</f>
        <v/>
      </c>
    </row>
    <row r="197" spans="5:6" x14ac:dyDescent="0.3">
      <c r="E197" s="10" t="str">
        <f t="shared" si="3"/>
        <v/>
      </c>
      <c r="F197" s="10" t="str">
        <f>IF($A197="","",IF(ISNA(MATCH($B197,Artikel!$B:$B,0)),"ohne Artikel",IF(N($E197)=0,"",ROUNDDOWN(INDEX(Artikel!$K:$K,MATCH($B197,Artikel!$B:$B,0))/$E197,0))))</f>
        <v/>
      </c>
    </row>
    <row r="198" spans="5:6" x14ac:dyDescent="0.3">
      <c r="E198" s="10" t="str">
        <f t="shared" si="3"/>
        <v/>
      </c>
      <c r="F198" s="10" t="str">
        <f>IF($A198="","",IF(ISNA(MATCH($B198,Artikel!$B:$B,0)),"ohne Artikel",IF(N($E198)=0,"",ROUNDDOWN(INDEX(Artikel!$K:$K,MATCH($B198,Artikel!$B:$B,0))/$E198,0))))</f>
        <v/>
      </c>
    </row>
    <row r="199" spans="5:6" x14ac:dyDescent="0.3">
      <c r="E199" s="10" t="str">
        <f t="shared" si="3"/>
        <v/>
      </c>
      <c r="F199" s="10" t="str">
        <f>IF($A199="","",IF(ISNA(MATCH($B199,Artikel!$B:$B,0)),"ohne Artikel",IF(N($E199)=0,"",ROUNDDOWN(INDEX(Artikel!$K:$K,MATCH($B199,Artikel!$B:$B,0))/$E199,0))))</f>
        <v/>
      </c>
    </row>
    <row r="200" spans="5:6" x14ac:dyDescent="0.3">
      <c r="E200" s="10" t="str">
        <f t="shared" si="3"/>
        <v/>
      </c>
      <c r="F200" s="10" t="str">
        <f>IF($A200="","",IF(ISNA(MATCH($B200,Artikel!$B:$B,0)),"ohne Artikel",IF(N($E200)=0,"",ROUNDDOWN(INDEX(Artikel!$K:$K,MATCH($B200,Artikel!$B:$B,0))/$E200,0))))</f>
        <v/>
      </c>
    </row>
    <row r="201" spans="5:6" x14ac:dyDescent="0.3">
      <c r="E201" s="10" t="str">
        <f t="shared" si="3"/>
        <v/>
      </c>
      <c r="F201" s="10" t="str">
        <f>IF($A201="","",IF(ISNA(MATCH($B201,Artikel!$B:$B,0)),"ohne Artikel",IF(N($E201)=0,"",ROUNDDOWN(INDEX(Artikel!$K:$K,MATCH($B201,Artikel!$B:$B,0))/$E201,0))))</f>
        <v/>
      </c>
    </row>
    <row r="202" spans="5:6" x14ac:dyDescent="0.3">
      <c r="E202" s="10" t="str">
        <f t="shared" si="3"/>
        <v/>
      </c>
      <c r="F202" s="10" t="str">
        <f>IF($A202="","",IF(ISNA(MATCH($B202,Artikel!$B:$B,0)),"ohne Artikel",IF(N($E202)=0,"",ROUNDDOWN(INDEX(Artikel!$K:$K,MATCH($B202,Artikel!$B:$B,0))/$E202,0))))</f>
        <v/>
      </c>
    </row>
    <row r="203" spans="5:6" x14ac:dyDescent="0.3">
      <c r="E203" s="10" t="str">
        <f t="shared" si="3"/>
        <v/>
      </c>
      <c r="F203" s="10" t="str">
        <f>IF($A203="","",IF(ISNA(MATCH($B203,Artikel!$B:$B,0)),"ohne Artikel",IF(N($E203)=0,"",ROUNDDOWN(INDEX(Artikel!$K:$K,MATCH($B203,Artikel!$B:$B,0))/$E203,0))))</f>
        <v/>
      </c>
    </row>
    <row r="204" spans="5:6" x14ac:dyDescent="0.3">
      <c r="E204" s="10" t="str">
        <f t="shared" si="3"/>
        <v/>
      </c>
      <c r="F204" s="10" t="str">
        <f>IF($A204="","",IF(ISNA(MATCH($B204,Artikel!$B:$B,0)),"ohne Artikel",IF(N($E204)=0,"",ROUNDDOWN(INDEX(Artikel!$K:$K,MATCH($B204,Artikel!$B:$B,0))/$E204,0))))</f>
        <v/>
      </c>
    </row>
    <row r="205" spans="5:6" x14ac:dyDescent="0.3">
      <c r="E205" s="10" t="str">
        <f t="shared" si="3"/>
        <v/>
      </c>
      <c r="F205" s="10" t="str">
        <f>IF($A205="","",IF(ISNA(MATCH($B205,Artikel!$B:$B,0)),"ohne Artikel",IF(N($E205)=0,"",ROUNDDOWN(INDEX(Artikel!$K:$K,MATCH($B205,Artikel!$B:$B,0))/$E205,0))))</f>
        <v/>
      </c>
    </row>
    <row r="206" spans="5:6" x14ac:dyDescent="0.3">
      <c r="E206" s="10" t="str">
        <f t="shared" si="3"/>
        <v/>
      </c>
      <c r="F206" s="10" t="str">
        <f>IF($A206="","",IF(ISNA(MATCH($B206,Artikel!$B:$B,0)),"ohne Artikel",IF(N($E206)=0,"",ROUNDDOWN(INDEX(Artikel!$K:$K,MATCH($B206,Artikel!$B:$B,0))/$E206,0))))</f>
        <v/>
      </c>
    </row>
    <row r="207" spans="5:6" x14ac:dyDescent="0.3">
      <c r="E207" s="10" t="str">
        <f t="shared" si="3"/>
        <v/>
      </c>
      <c r="F207" s="10" t="str">
        <f>IF($A207="","",IF(ISNA(MATCH($B207,Artikel!$B:$B,0)),"ohne Artikel",IF(N($E207)=0,"",ROUNDDOWN(INDEX(Artikel!$K:$K,MATCH($B207,Artikel!$B:$B,0))/$E207,0))))</f>
        <v/>
      </c>
    </row>
    <row r="208" spans="5:6" x14ac:dyDescent="0.3">
      <c r="E208" s="10" t="str">
        <f t="shared" si="3"/>
        <v/>
      </c>
      <c r="F208" s="10" t="str">
        <f>IF($A208="","",IF(ISNA(MATCH($B208,Artikel!$B:$B,0)),"ohne Artikel",IF(N($E208)=0,"",ROUNDDOWN(INDEX(Artikel!$K:$K,MATCH($B208,Artikel!$B:$B,0))/$E208,0))))</f>
        <v/>
      </c>
    </row>
    <row r="209" spans="5:6" x14ac:dyDescent="0.3">
      <c r="E209" s="10" t="str">
        <f t="shared" si="3"/>
        <v/>
      </c>
      <c r="F209" s="10" t="str">
        <f>IF($A209="","",IF(ISNA(MATCH($B209,Artikel!$B:$B,0)),"ohne Artikel",IF(N($E209)=0,"",ROUNDDOWN(INDEX(Artikel!$K:$K,MATCH($B209,Artikel!$B:$B,0))/$E209,0))))</f>
        <v/>
      </c>
    </row>
    <row r="210" spans="5:6" x14ac:dyDescent="0.3">
      <c r="E210" s="10" t="str">
        <f t="shared" si="3"/>
        <v/>
      </c>
      <c r="F210" s="10" t="str">
        <f>IF($A210="","",IF(ISNA(MATCH($B210,Artikel!$B:$B,0)),"ohne Artikel",IF(N($E210)=0,"",ROUNDDOWN(INDEX(Artikel!$K:$K,MATCH($B210,Artikel!$B:$B,0))/$E210,0))))</f>
        <v/>
      </c>
    </row>
    <row r="211" spans="5:6" x14ac:dyDescent="0.3">
      <c r="E211" s="10" t="str">
        <f t="shared" si="3"/>
        <v/>
      </c>
      <c r="F211" s="10" t="str">
        <f>IF($A211="","",IF(ISNA(MATCH($B211,Artikel!$B:$B,0)),"ohne Artikel",IF(N($E211)=0,"",ROUNDDOWN(INDEX(Artikel!$K:$K,MATCH($B211,Artikel!$B:$B,0))/$E211,0))))</f>
        <v/>
      </c>
    </row>
    <row r="212" spans="5:6" x14ac:dyDescent="0.3">
      <c r="E212" s="10" t="str">
        <f t="shared" si="3"/>
        <v/>
      </c>
      <c r="F212" s="10" t="str">
        <f>IF($A212="","",IF(ISNA(MATCH($B212,Artikel!$B:$B,0)),"ohne Artikel",IF(N($E212)=0,"",ROUNDDOWN(INDEX(Artikel!$K:$K,MATCH($B212,Artikel!$B:$B,0))/$E212,0))))</f>
        <v/>
      </c>
    </row>
    <row r="213" spans="5:6" x14ac:dyDescent="0.3">
      <c r="E213" s="10" t="str">
        <f t="shared" si="3"/>
        <v/>
      </c>
      <c r="F213" s="10" t="str">
        <f>IF($A213="","",IF(ISNA(MATCH($B213,Artikel!$B:$B,0)),"ohne Artikel",IF(N($E213)=0,"",ROUNDDOWN(INDEX(Artikel!$K:$K,MATCH($B213,Artikel!$B:$B,0))/$E213,0))))</f>
        <v/>
      </c>
    </row>
    <row r="214" spans="5:6" x14ac:dyDescent="0.3">
      <c r="E214" s="10" t="str">
        <f t="shared" si="3"/>
        <v/>
      </c>
      <c r="F214" s="10" t="str">
        <f>IF($A214="","",IF(ISNA(MATCH($B214,Artikel!$B:$B,0)),"ohne Artikel",IF(N($E214)=0,"",ROUNDDOWN(INDEX(Artikel!$K:$K,MATCH($B214,Artikel!$B:$B,0))/$E214,0))))</f>
        <v/>
      </c>
    </row>
    <row r="215" spans="5:6" x14ac:dyDescent="0.3">
      <c r="E215" s="10" t="str">
        <f t="shared" si="3"/>
        <v/>
      </c>
      <c r="F215" s="10" t="str">
        <f>IF($A215="","",IF(ISNA(MATCH($B215,Artikel!$B:$B,0)),"ohne Artikel",IF(N($E215)=0,"",ROUNDDOWN(INDEX(Artikel!$K:$K,MATCH($B215,Artikel!$B:$B,0))/$E215,0))))</f>
        <v/>
      </c>
    </row>
    <row r="216" spans="5:6" x14ac:dyDescent="0.3">
      <c r="E216" s="10" t="str">
        <f t="shared" si="3"/>
        <v/>
      </c>
      <c r="F216" s="10" t="str">
        <f>IF($A216="","",IF(ISNA(MATCH($B216,Artikel!$B:$B,0)),"ohne Artikel",IF(N($E216)=0,"",ROUNDDOWN(INDEX(Artikel!$K:$K,MATCH($B216,Artikel!$B:$B,0))/$E216,0))))</f>
        <v/>
      </c>
    </row>
    <row r="217" spans="5:6" x14ac:dyDescent="0.3">
      <c r="E217" s="10" t="str">
        <f t="shared" si="3"/>
        <v/>
      </c>
      <c r="F217" s="10" t="str">
        <f>IF($A217="","",IF(ISNA(MATCH($B217,Artikel!$B:$B,0)),"ohne Artikel",IF(N($E217)=0,"",ROUNDDOWN(INDEX(Artikel!$K:$K,MATCH($B217,Artikel!$B:$B,0))/$E217,0))))</f>
        <v/>
      </c>
    </row>
    <row r="218" spans="5:6" x14ac:dyDescent="0.3">
      <c r="E218" s="10" t="str">
        <f t="shared" si="3"/>
        <v/>
      </c>
      <c r="F218" s="10" t="str">
        <f>IF($A218="","",IF(ISNA(MATCH($B218,Artikel!$B:$B,0)),"ohne Artikel",IF(N($E218)=0,"",ROUNDDOWN(INDEX(Artikel!$K:$K,MATCH($B218,Artikel!$B:$B,0))/$E218,0))))</f>
        <v/>
      </c>
    </row>
    <row r="219" spans="5:6" x14ac:dyDescent="0.3">
      <c r="E219" s="10" t="str">
        <f t="shared" si="3"/>
        <v/>
      </c>
      <c r="F219" s="10" t="str">
        <f>IF($A219="","",IF(ISNA(MATCH($B219,Artikel!$B:$B,0)),"ohne Artikel",IF(N($E219)=0,"",ROUNDDOWN(INDEX(Artikel!$K:$K,MATCH($B219,Artikel!$B:$B,0))/$E219,0))))</f>
        <v/>
      </c>
    </row>
    <row r="220" spans="5:6" x14ac:dyDescent="0.3">
      <c r="E220" s="10" t="str">
        <f t="shared" si="3"/>
        <v/>
      </c>
      <c r="F220" s="10" t="str">
        <f>IF($A220="","",IF(ISNA(MATCH($B220,Artikel!$B:$B,0)),"ohne Artikel",IF(N($E220)=0,"",ROUNDDOWN(INDEX(Artikel!$K:$K,MATCH($B220,Artikel!$B:$B,0))/$E220,0))))</f>
        <v/>
      </c>
    </row>
    <row r="221" spans="5:6" x14ac:dyDescent="0.3">
      <c r="E221" s="10" t="str">
        <f t="shared" si="3"/>
        <v/>
      </c>
      <c r="F221" s="10" t="str">
        <f>IF($A221="","",IF(ISNA(MATCH($B221,Artikel!$B:$B,0)),"ohne Artikel",IF(N($E221)=0,"",ROUNDDOWN(INDEX(Artikel!$K:$K,MATCH($B221,Artikel!$B:$B,0))/$E221,0))))</f>
        <v/>
      </c>
    </row>
    <row r="222" spans="5:6" x14ac:dyDescent="0.3">
      <c r="E222" s="10" t="str">
        <f t="shared" si="3"/>
        <v/>
      </c>
      <c r="F222" s="10" t="str">
        <f>IF($A222="","",IF(ISNA(MATCH($B222,Artikel!$B:$B,0)),"ohne Artikel",IF(N($E222)=0,"",ROUNDDOWN(INDEX(Artikel!$K:$K,MATCH($B222,Artikel!$B:$B,0))/$E222,0))))</f>
        <v/>
      </c>
    </row>
    <row r="223" spans="5:6" x14ac:dyDescent="0.3">
      <c r="E223" s="10" t="str">
        <f t="shared" si="3"/>
        <v/>
      </c>
      <c r="F223" s="10" t="str">
        <f>IF($A223="","",IF(ISNA(MATCH($B223,Artikel!$B:$B,0)),"ohne Artikel",IF(N($E223)=0,"",ROUNDDOWN(INDEX(Artikel!$K:$K,MATCH($B223,Artikel!$B:$B,0))/$E223,0))))</f>
        <v/>
      </c>
    </row>
    <row r="224" spans="5:6" x14ac:dyDescent="0.3">
      <c r="E224" s="10" t="str">
        <f t="shared" si="3"/>
        <v/>
      </c>
      <c r="F224" s="10" t="str">
        <f>IF($A224="","",IF(ISNA(MATCH($B224,Artikel!$B:$B,0)),"ohne Artikel",IF(N($E224)=0,"",ROUNDDOWN(INDEX(Artikel!$K:$K,MATCH($B224,Artikel!$B:$B,0))/$E224,0))))</f>
        <v/>
      </c>
    </row>
    <row r="225" spans="5:6" x14ac:dyDescent="0.3">
      <c r="E225" s="10" t="str">
        <f t="shared" si="3"/>
        <v/>
      </c>
      <c r="F225" s="10" t="str">
        <f>IF($A225="","",IF(ISNA(MATCH($B225,Artikel!$B:$B,0)),"ohne Artikel",IF(N($E225)=0,"",ROUNDDOWN(INDEX(Artikel!$K:$K,MATCH($B225,Artikel!$B:$B,0))/$E225,0))))</f>
        <v/>
      </c>
    </row>
    <row r="226" spans="5:6" x14ac:dyDescent="0.3">
      <c r="E226" s="10" t="str">
        <f t="shared" si="3"/>
        <v/>
      </c>
      <c r="F226" s="10" t="str">
        <f>IF($A226="","",IF(ISNA(MATCH($B226,Artikel!$B:$B,0)),"ohne Artikel",IF(N($E226)=0,"",ROUNDDOWN(INDEX(Artikel!$K:$K,MATCH($B226,Artikel!$B:$B,0))/$E226,0))))</f>
        <v/>
      </c>
    </row>
    <row r="227" spans="5:6" x14ac:dyDescent="0.3">
      <c r="E227" s="10" t="str">
        <f t="shared" si="3"/>
        <v/>
      </c>
      <c r="F227" s="10" t="str">
        <f>IF($A227="","",IF(ISNA(MATCH($B227,Artikel!$B:$B,0)),"ohne Artikel",IF(N($E227)=0,"",ROUNDDOWN(INDEX(Artikel!$K:$K,MATCH($B227,Artikel!$B:$B,0))/$E227,0))))</f>
        <v/>
      </c>
    </row>
    <row r="228" spans="5:6" x14ac:dyDescent="0.3">
      <c r="E228" s="10" t="str">
        <f t="shared" si="3"/>
        <v/>
      </c>
      <c r="F228" s="10" t="str">
        <f>IF($A228="","",IF(ISNA(MATCH($B228,Artikel!$B:$B,0)),"ohne Artikel",IF(N($E228)=0,"",ROUNDDOWN(INDEX(Artikel!$K:$K,MATCH($B228,Artikel!$B:$B,0))/$E228,0))))</f>
        <v/>
      </c>
    </row>
    <row r="229" spans="5:6" x14ac:dyDescent="0.3">
      <c r="E229" s="10" t="str">
        <f t="shared" si="3"/>
        <v/>
      </c>
      <c r="F229" s="10" t="str">
        <f>IF($A229="","",IF(ISNA(MATCH($B229,Artikel!$B:$B,0)),"ohne Artikel",IF(N($E229)=0,"",ROUNDDOWN(INDEX(Artikel!$K:$K,MATCH($B229,Artikel!$B:$B,0))/$E229,0))))</f>
        <v/>
      </c>
    </row>
    <row r="230" spans="5:6" x14ac:dyDescent="0.3">
      <c r="E230" s="10" t="str">
        <f t="shared" si="3"/>
        <v/>
      </c>
      <c r="F230" s="10" t="str">
        <f>IF($A230="","",IF(ISNA(MATCH($B230,Artikel!$B:$B,0)),"ohne Artikel",IF(N($E230)=0,"",ROUNDDOWN(INDEX(Artikel!$K:$K,MATCH($B230,Artikel!$B:$B,0))/$E230,0))))</f>
        <v/>
      </c>
    </row>
    <row r="231" spans="5:6" x14ac:dyDescent="0.3">
      <c r="E231" s="10" t="str">
        <f t="shared" si="3"/>
        <v/>
      </c>
      <c r="F231" s="10" t="str">
        <f>IF($A231="","",IF(ISNA(MATCH($B231,Artikel!$B:$B,0)),"ohne Artikel",IF(N($E231)=0,"",ROUNDDOWN(INDEX(Artikel!$K:$K,MATCH($B231,Artikel!$B:$B,0))/$E231,0))))</f>
        <v/>
      </c>
    </row>
    <row r="232" spans="5:6" x14ac:dyDescent="0.3">
      <c r="E232" s="10" t="str">
        <f t="shared" si="3"/>
        <v/>
      </c>
      <c r="F232" s="10" t="str">
        <f>IF($A232="","",IF(ISNA(MATCH($B232,Artikel!$B:$B,0)),"ohne Artikel",IF(N($E232)=0,"",ROUNDDOWN(INDEX(Artikel!$K:$K,MATCH($B232,Artikel!$B:$B,0))/$E232,0))))</f>
        <v/>
      </c>
    </row>
    <row r="233" spans="5:6" x14ac:dyDescent="0.3">
      <c r="E233" s="10" t="str">
        <f t="shared" si="3"/>
        <v/>
      </c>
      <c r="F233" s="10" t="str">
        <f>IF($A233="","",IF(ISNA(MATCH($B233,Artikel!$B:$B,0)),"ohne Artikel",IF(N($E233)=0,"",ROUNDDOWN(INDEX(Artikel!$K:$K,MATCH($B233,Artikel!$B:$B,0))/$E233,0))))</f>
        <v/>
      </c>
    </row>
    <row r="234" spans="5:6" x14ac:dyDescent="0.3">
      <c r="E234" s="10" t="str">
        <f t="shared" si="3"/>
        <v/>
      </c>
      <c r="F234" s="10" t="str">
        <f>IF($A234="","",IF(ISNA(MATCH($B234,Artikel!$B:$B,0)),"ohne Artikel",IF(N($E234)=0,"",ROUNDDOWN(INDEX(Artikel!$K:$K,MATCH($B234,Artikel!$B:$B,0))/$E234,0))))</f>
        <v/>
      </c>
    </row>
    <row r="235" spans="5:6" x14ac:dyDescent="0.3">
      <c r="E235" s="10" t="str">
        <f t="shared" si="3"/>
        <v/>
      </c>
      <c r="F235" s="10" t="str">
        <f>IF($A235="","",IF(ISNA(MATCH($B235,Artikel!$B:$B,0)),"ohne Artikel",IF(N($E235)=0,"",ROUNDDOWN(INDEX(Artikel!$K:$K,MATCH($B235,Artikel!$B:$B,0))/$E235,0))))</f>
        <v/>
      </c>
    </row>
    <row r="236" spans="5:6" x14ac:dyDescent="0.3">
      <c r="E236" s="10" t="str">
        <f t="shared" si="3"/>
        <v/>
      </c>
      <c r="F236" s="10" t="str">
        <f>IF($A236="","",IF(ISNA(MATCH($B236,Artikel!$B:$B,0)),"ohne Artikel",IF(N($E236)=0,"",ROUNDDOWN(INDEX(Artikel!$K:$K,MATCH($B236,Artikel!$B:$B,0))/$E236,0))))</f>
        <v/>
      </c>
    </row>
    <row r="237" spans="5:6" x14ac:dyDescent="0.3">
      <c r="E237" s="10" t="str">
        <f t="shared" si="3"/>
        <v/>
      </c>
      <c r="F237" s="10" t="str">
        <f>IF($A237="","",IF(ISNA(MATCH($B237,Artikel!$B:$B,0)),"ohne Artikel",IF(N($E237)=0,"",ROUNDDOWN(INDEX(Artikel!$K:$K,MATCH($B237,Artikel!$B:$B,0))/$E237,0))))</f>
        <v/>
      </c>
    </row>
    <row r="238" spans="5:6" x14ac:dyDescent="0.3">
      <c r="E238" s="10" t="str">
        <f t="shared" si="3"/>
        <v/>
      </c>
      <c r="F238" s="10" t="str">
        <f>IF($A238="","",IF(ISNA(MATCH($B238,Artikel!$B:$B,0)),"ohne Artikel",IF(N($E238)=0,"",ROUNDDOWN(INDEX(Artikel!$K:$K,MATCH($B238,Artikel!$B:$B,0))/$E238,0))))</f>
        <v/>
      </c>
    </row>
    <row r="239" spans="5:6" x14ac:dyDescent="0.3">
      <c r="E239" s="10" t="str">
        <f t="shared" si="3"/>
        <v/>
      </c>
      <c r="F239" s="10" t="str">
        <f>IF($A239="","",IF(ISNA(MATCH($B239,Artikel!$B:$B,0)),"ohne Artikel",IF(N($E239)=0,"",ROUNDDOWN(INDEX(Artikel!$K:$K,MATCH($B239,Artikel!$B:$B,0))/$E239,0))))</f>
        <v/>
      </c>
    </row>
    <row r="240" spans="5:6" x14ac:dyDescent="0.3">
      <c r="E240" s="10" t="str">
        <f t="shared" si="3"/>
        <v/>
      </c>
      <c r="F240" s="10" t="str">
        <f>IF($A240="","",IF(ISNA(MATCH($B240,Artikel!$B:$B,0)),"ohne Artikel",IF(N($E240)=0,"",ROUNDDOWN(INDEX(Artikel!$K:$K,MATCH($B240,Artikel!$B:$B,0))/$E240,0))))</f>
        <v/>
      </c>
    </row>
    <row r="241" spans="5:6" x14ac:dyDescent="0.3">
      <c r="E241" s="10" t="str">
        <f t="shared" si="3"/>
        <v/>
      </c>
      <c r="F241" s="10" t="str">
        <f>IF($A241="","",IF(ISNA(MATCH($B241,Artikel!$B:$B,0)),"ohne Artikel",IF(N($E241)=0,"",ROUNDDOWN(INDEX(Artikel!$K:$K,MATCH($B241,Artikel!$B:$B,0))/$E241,0))))</f>
        <v/>
      </c>
    </row>
    <row r="242" spans="5:6" x14ac:dyDescent="0.3">
      <c r="E242" s="10" t="str">
        <f t="shared" si="3"/>
        <v/>
      </c>
      <c r="F242" s="10" t="str">
        <f>IF($A242="","",IF(ISNA(MATCH($B242,Artikel!$B:$B,0)),"ohne Artikel",IF(N($E242)=0,"",ROUNDDOWN(INDEX(Artikel!$K:$K,MATCH($B242,Artikel!$B:$B,0))/$E242,0))))</f>
        <v/>
      </c>
    </row>
    <row r="243" spans="5:6" x14ac:dyDescent="0.3">
      <c r="E243" s="10" t="str">
        <f t="shared" si="3"/>
        <v/>
      </c>
      <c r="F243" s="10" t="str">
        <f>IF($A243="","",IF(ISNA(MATCH($B243,Artikel!$B:$B,0)),"ohne Artikel",IF(N($E243)=0,"",ROUNDDOWN(INDEX(Artikel!$K:$K,MATCH($B243,Artikel!$B:$B,0))/$E243,0))))</f>
        <v/>
      </c>
    </row>
    <row r="244" spans="5:6" x14ac:dyDescent="0.3">
      <c r="E244" s="10" t="str">
        <f t="shared" si="3"/>
        <v/>
      </c>
      <c r="F244" s="10" t="str">
        <f>IF($A244="","",IF(ISNA(MATCH($B244,Artikel!$B:$B,0)),"ohne Artikel",IF(N($E244)=0,"",ROUNDDOWN(INDEX(Artikel!$K:$K,MATCH($B244,Artikel!$B:$B,0))/$E244,0))))</f>
        <v/>
      </c>
    </row>
    <row r="245" spans="5:6" x14ac:dyDescent="0.3">
      <c r="E245" s="10" t="str">
        <f t="shared" si="3"/>
        <v/>
      </c>
      <c r="F245" s="10" t="str">
        <f>IF($A245="","",IF(ISNA(MATCH($B245,Artikel!$B:$B,0)),"ohne Artikel",IF(N($E245)=0,"",ROUNDDOWN(INDEX(Artikel!$K:$K,MATCH($B245,Artikel!$B:$B,0))/$E245,0))))</f>
        <v/>
      </c>
    </row>
    <row r="246" spans="5:6" x14ac:dyDescent="0.3">
      <c r="E246" s="10" t="str">
        <f t="shared" si="3"/>
        <v/>
      </c>
      <c r="F246" s="10" t="str">
        <f>IF($A246="","",IF(ISNA(MATCH($B246,Artikel!$B:$B,0)),"ohne Artikel",IF(N($E246)=0,"",ROUNDDOWN(INDEX(Artikel!$K:$K,MATCH($B246,Artikel!$B:$B,0))/$E246,0))))</f>
        <v/>
      </c>
    </row>
    <row r="247" spans="5:6" x14ac:dyDescent="0.3">
      <c r="E247" s="10" t="str">
        <f t="shared" si="3"/>
        <v/>
      </c>
      <c r="F247" s="10" t="str">
        <f>IF($A247="","",IF(ISNA(MATCH($B247,Artikel!$B:$B,0)),"ohne Artikel",IF(N($E247)=0,"",ROUNDDOWN(INDEX(Artikel!$K:$K,MATCH($B247,Artikel!$B:$B,0))/$E247,0))))</f>
        <v/>
      </c>
    </row>
    <row r="248" spans="5:6" x14ac:dyDescent="0.3">
      <c r="E248" s="10" t="str">
        <f t="shared" si="3"/>
        <v/>
      </c>
      <c r="F248" s="10" t="str">
        <f>IF($A248="","",IF(ISNA(MATCH($B248,Artikel!$B:$B,0)),"ohne Artikel",IF(N($E248)=0,"",ROUNDDOWN(INDEX(Artikel!$K:$K,MATCH($B248,Artikel!$B:$B,0))/$E248,0))))</f>
        <v/>
      </c>
    </row>
    <row r="249" spans="5:6" x14ac:dyDescent="0.3">
      <c r="E249" s="10" t="str">
        <f t="shared" si="3"/>
        <v/>
      </c>
      <c r="F249" s="10" t="str">
        <f>IF($A249="","",IF(ISNA(MATCH($B249,Artikel!$B:$B,0)),"ohne Artikel",IF(N($E249)=0,"",ROUNDDOWN(INDEX(Artikel!$K:$K,MATCH($B249,Artikel!$B:$B,0))/$E249,0))))</f>
        <v/>
      </c>
    </row>
    <row r="250" spans="5:6" x14ac:dyDescent="0.3">
      <c r="E250" s="10" t="str">
        <f t="shared" si="3"/>
        <v/>
      </c>
      <c r="F250" s="10" t="str">
        <f>IF($A250="","",IF(ISNA(MATCH($B250,Artikel!$B:$B,0)),"ohne Artikel",IF(N($E250)=0,"",ROUNDDOWN(INDEX(Artikel!$K:$K,MATCH($B250,Artikel!$B:$B,0))/$E250,0))))</f>
        <v/>
      </c>
    </row>
    <row r="251" spans="5:6" x14ac:dyDescent="0.3">
      <c r="E251" s="10" t="str">
        <f t="shared" si="3"/>
        <v/>
      </c>
      <c r="F251" s="10" t="str">
        <f>IF($A251="","",IF(ISNA(MATCH($B251,Artikel!$B:$B,0)),"ohne Artikel",IF(N($E251)=0,"",ROUNDDOWN(INDEX(Artikel!$K:$K,MATCH($B251,Artikel!$B:$B,0))/$E251,0))))</f>
        <v/>
      </c>
    </row>
    <row r="252" spans="5:6" x14ac:dyDescent="0.3">
      <c r="E252" s="10" t="str">
        <f t="shared" si="3"/>
        <v/>
      </c>
      <c r="F252" s="10" t="str">
        <f>IF($A252="","",IF(ISNA(MATCH($B252,Artikel!$B:$B,0)),"ohne Artikel",IF(N($E252)=0,"",ROUNDDOWN(INDEX(Artikel!$K:$K,MATCH($B252,Artikel!$B:$B,0))/$E252,0))))</f>
        <v/>
      </c>
    </row>
    <row r="253" spans="5:6" x14ac:dyDescent="0.3">
      <c r="E253" s="10" t="str">
        <f t="shared" si="3"/>
        <v/>
      </c>
      <c r="F253" s="10" t="str">
        <f>IF($A253="","",IF(ISNA(MATCH($B253,Artikel!$B:$B,0)),"ohne Artikel",IF(N($E253)=0,"",ROUNDDOWN(INDEX(Artikel!$K:$K,MATCH($B253,Artikel!$B:$B,0))/$E253,0))))</f>
        <v/>
      </c>
    </row>
    <row r="254" spans="5:6" x14ac:dyDescent="0.3">
      <c r="E254" s="10" t="str">
        <f t="shared" si="3"/>
        <v/>
      </c>
      <c r="F254" s="10" t="str">
        <f>IF($A254="","",IF(ISNA(MATCH($B254,Artikel!$B:$B,0)),"ohne Artikel",IF(N($E254)=0,"",ROUNDDOWN(INDEX(Artikel!$K:$K,MATCH($B254,Artikel!$B:$B,0))/$E254,0))))</f>
        <v/>
      </c>
    </row>
    <row r="255" spans="5:6" x14ac:dyDescent="0.3">
      <c r="E255" s="10" t="str">
        <f t="shared" si="3"/>
        <v/>
      </c>
      <c r="F255" s="10" t="str">
        <f>IF($A255="","",IF(ISNA(MATCH($B255,Artikel!$B:$B,0)),"ohne Artikel",IF(N($E255)=0,"",ROUNDDOWN(INDEX(Artikel!$K:$K,MATCH($B255,Artikel!$B:$B,0))/$E255,0))))</f>
        <v/>
      </c>
    </row>
    <row r="256" spans="5:6" x14ac:dyDescent="0.3">
      <c r="E256" s="10" t="str">
        <f t="shared" si="3"/>
        <v/>
      </c>
      <c r="F256" s="10" t="str">
        <f>IF($A256="","",IF(ISNA(MATCH($B256,Artikel!$B:$B,0)),"ohne Artikel",IF(N($E256)=0,"",ROUNDDOWN(INDEX(Artikel!$K:$K,MATCH($B256,Artikel!$B:$B,0))/$E256,0))))</f>
        <v/>
      </c>
    </row>
    <row r="257" spans="5:6" x14ac:dyDescent="0.3">
      <c r="E257" s="10" t="str">
        <f t="shared" si="3"/>
        <v/>
      </c>
      <c r="F257" s="10" t="str">
        <f>IF($A257="","",IF(ISNA(MATCH($B257,Artikel!$B:$B,0)),"ohne Artikel",IF(N($E257)=0,"",ROUNDDOWN(INDEX(Artikel!$K:$K,MATCH($B257,Artikel!$B:$B,0))/$E257,0))))</f>
        <v/>
      </c>
    </row>
    <row r="258" spans="5:6" x14ac:dyDescent="0.3">
      <c r="E258" s="10" t="str">
        <f t="shared" ref="E258:E321" si="4">IF($A258="","",$C258*IF($D258="cl",10,IF(OR($D258="l",$D258="kg"),1000,1)))</f>
        <v/>
      </c>
      <c r="F258" s="10" t="str">
        <f>IF($A258="","",IF(ISNA(MATCH($B258,Artikel!$B:$B,0)),"ohne Artikel",IF(N($E258)=0,"",ROUNDDOWN(INDEX(Artikel!$K:$K,MATCH($B258,Artikel!$B:$B,0))/$E258,0))))</f>
        <v/>
      </c>
    </row>
    <row r="259" spans="5:6" x14ac:dyDescent="0.3">
      <c r="E259" s="10" t="str">
        <f t="shared" si="4"/>
        <v/>
      </c>
      <c r="F259" s="10" t="str">
        <f>IF($A259="","",IF(ISNA(MATCH($B259,Artikel!$B:$B,0)),"ohne Artikel",IF(N($E259)=0,"",ROUNDDOWN(INDEX(Artikel!$K:$K,MATCH($B259,Artikel!$B:$B,0))/$E259,0))))</f>
        <v/>
      </c>
    </row>
    <row r="260" spans="5:6" x14ac:dyDescent="0.3">
      <c r="E260" s="10" t="str">
        <f t="shared" si="4"/>
        <v/>
      </c>
      <c r="F260" s="10" t="str">
        <f>IF($A260="","",IF(ISNA(MATCH($B260,Artikel!$B:$B,0)),"ohne Artikel",IF(N($E260)=0,"",ROUNDDOWN(INDEX(Artikel!$K:$K,MATCH($B260,Artikel!$B:$B,0))/$E260,0))))</f>
        <v/>
      </c>
    </row>
    <row r="261" spans="5:6" x14ac:dyDescent="0.3">
      <c r="E261" s="10" t="str">
        <f t="shared" si="4"/>
        <v/>
      </c>
      <c r="F261" s="10" t="str">
        <f>IF($A261="","",IF(ISNA(MATCH($B261,Artikel!$B:$B,0)),"ohne Artikel",IF(N($E261)=0,"",ROUNDDOWN(INDEX(Artikel!$K:$K,MATCH($B261,Artikel!$B:$B,0))/$E261,0))))</f>
        <v/>
      </c>
    </row>
    <row r="262" spans="5:6" x14ac:dyDescent="0.3">
      <c r="E262" s="10" t="str">
        <f t="shared" si="4"/>
        <v/>
      </c>
      <c r="F262" s="10" t="str">
        <f>IF($A262="","",IF(ISNA(MATCH($B262,Artikel!$B:$B,0)),"ohne Artikel",IF(N($E262)=0,"",ROUNDDOWN(INDEX(Artikel!$K:$K,MATCH($B262,Artikel!$B:$B,0))/$E262,0))))</f>
        <v/>
      </c>
    </row>
    <row r="263" spans="5:6" x14ac:dyDescent="0.3">
      <c r="E263" s="10" t="str">
        <f t="shared" si="4"/>
        <v/>
      </c>
      <c r="F263" s="10" t="str">
        <f>IF($A263="","",IF(ISNA(MATCH($B263,Artikel!$B:$B,0)),"ohne Artikel",IF(N($E263)=0,"",ROUNDDOWN(INDEX(Artikel!$K:$K,MATCH($B263,Artikel!$B:$B,0))/$E263,0))))</f>
        <v/>
      </c>
    </row>
    <row r="264" spans="5:6" x14ac:dyDescent="0.3">
      <c r="E264" s="10" t="str">
        <f t="shared" si="4"/>
        <v/>
      </c>
      <c r="F264" s="10" t="str">
        <f>IF($A264="","",IF(ISNA(MATCH($B264,Artikel!$B:$B,0)),"ohne Artikel",IF(N($E264)=0,"",ROUNDDOWN(INDEX(Artikel!$K:$K,MATCH($B264,Artikel!$B:$B,0))/$E264,0))))</f>
        <v/>
      </c>
    </row>
    <row r="265" spans="5:6" x14ac:dyDescent="0.3">
      <c r="E265" s="10" t="str">
        <f t="shared" si="4"/>
        <v/>
      </c>
      <c r="F265" s="10" t="str">
        <f>IF($A265="","",IF(ISNA(MATCH($B265,Artikel!$B:$B,0)),"ohne Artikel",IF(N($E265)=0,"",ROUNDDOWN(INDEX(Artikel!$K:$K,MATCH($B265,Artikel!$B:$B,0))/$E265,0))))</f>
        <v/>
      </c>
    </row>
    <row r="266" spans="5:6" x14ac:dyDescent="0.3">
      <c r="E266" s="10" t="str">
        <f t="shared" si="4"/>
        <v/>
      </c>
      <c r="F266" s="10" t="str">
        <f>IF($A266="","",IF(ISNA(MATCH($B266,Artikel!$B:$B,0)),"ohne Artikel",IF(N($E266)=0,"",ROUNDDOWN(INDEX(Artikel!$K:$K,MATCH($B266,Artikel!$B:$B,0))/$E266,0))))</f>
        <v/>
      </c>
    </row>
    <row r="267" spans="5:6" x14ac:dyDescent="0.3">
      <c r="E267" s="10" t="str">
        <f t="shared" si="4"/>
        <v/>
      </c>
      <c r="F267" s="10" t="str">
        <f>IF($A267="","",IF(ISNA(MATCH($B267,Artikel!$B:$B,0)),"ohne Artikel",IF(N($E267)=0,"",ROUNDDOWN(INDEX(Artikel!$K:$K,MATCH($B267,Artikel!$B:$B,0))/$E267,0))))</f>
        <v/>
      </c>
    </row>
    <row r="268" spans="5:6" x14ac:dyDescent="0.3">
      <c r="E268" s="10" t="str">
        <f t="shared" si="4"/>
        <v/>
      </c>
      <c r="F268" s="10" t="str">
        <f>IF($A268="","",IF(ISNA(MATCH($B268,Artikel!$B:$B,0)),"ohne Artikel",IF(N($E268)=0,"",ROUNDDOWN(INDEX(Artikel!$K:$K,MATCH($B268,Artikel!$B:$B,0))/$E268,0))))</f>
        <v/>
      </c>
    </row>
    <row r="269" spans="5:6" x14ac:dyDescent="0.3">
      <c r="E269" s="10" t="str">
        <f t="shared" si="4"/>
        <v/>
      </c>
      <c r="F269" s="10" t="str">
        <f>IF($A269="","",IF(ISNA(MATCH($B269,Artikel!$B:$B,0)),"ohne Artikel",IF(N($E269)=0,"",ROUNDDOWN(INDEX(Artikel!$K:$K,MATCH($B269,Artikel!$B:$B,0))/$E269,0))))</f>
        <v/>
      </c>
    </row>
    <row r="270" spans="5:6" x14ac:dyDescent="0.3">
      <c r="E270" s="10" t="str">
        <f t="shared" si="4"/>
        <v/>
      </c>
      <c r="F270" s="10" t="str">
        <f>IF($A270="","",IF(ISNA(MATCH($B270,Artikel!$B:$B,0)),"ohne Artikel",IF(N($E270)=0,"",ROUNDDOWN(INDEX(Artikel!$K:$K,MATCH($B270,Artikel!$B:$B,0))/$E270,0))))</f>
        <v/>
      </c>
    </row>
    <row r="271" spans="5:6" x14ac:dyDescent="0.3">
      <c r="E271" s="10" t="str">
        <f t="shared" si="4"/>
        <v/>
      </c>
      <c r="F271" s="10" t="str">
        <f>IF($A271="","",IF(ISNA(MATCH($B271,Artikel!$B:$B,0)),"ohne Artikel",IF(N($E271)=0,"",ROUNDDOWN(INDEX(Artikel!$K:$K,MATCH($B271,Artikel!$B:$B,0))/$E271,0))))</f>
        <v/>
      </c>
    </row>
    <row r="272" spans="5:6" x14ac:dyDescent="0.3">
      <c r="E272" s="10" t="str">
        <f t="shared" si="4"/>
        <v/>
      </c>
      <c r="F272" s="10" t="str">
        <f>IF($A272="","",IF(ISNA(MATCH($B272,Artikel!$B:$B,0)),"ohne Artikel",IF(N($E272)=0,"",ROUNDDOWN(INDEX(Artikel!$K:$K,MATCH($B272,Artikel!$B:$B,0))/$E272,0))))</f>
        <v/>
      </c>
    </row>
    <row r="273" spans="5:6" x14ac:dyDescent="0.3">
      <c r="E273" s="10" t="str">
        <f t="shared" si="4"/>
        <v/>
      </c>
      <c r="F273" s="10" t="str">
        <f>IF($A273="","",IF(ISNA(MATCH($B273,Artikel!$B:$B,0)),"ohne Artikel",IF(N($E273)=0,"",ROUNDDOWN(INDEX(Artikel!$K:$K,MATCH($B273,Artikel!$B:$B,0))/$E273,0))))</f>
        <v/>
      </c>
    </row>
    <row r="274" spans="5:6" x14ac:dyDescent="0.3">
      <c r="E274" s="10" t="str">
        <f t="shared" si="4"/>
        <v/>
      </c>
      <c r="F274" s="10" t="str">
        <f>IF($A274="","",IF(ISNA(MATCH($B274,Artikel!$B:$B,0)),"ohne Artikel",IF(N($E274)=0,"",ROUNDDOWN(INDEX(Artikel!$K:$K,MATCH($B274,Artikel!$B:$B,0))/$E274,0))))</f>
        <v/>
      </c>
    </row>
    <row r="275" spans="5:6" x14ac:dyDescent="0.3">
      <c r="E275" s="10" t="str">
        <f t="shared" si="4"/>
        <v/>
      </c>
      <c r="F275" s="10" t="str">
        <f>IF($A275="","",IF(ISNA(MATCH($B275,Artikel!$B:$B,0)),"ohne Artikel",IF(N($E275)=0,"",ROUNDDOWN(INDEX(Artikel!$K:$K,MATCH($B275,Artikel!$B:$B,0))/$E275,0))))</f>
        <v/>
      </c>
    </row>
    <row r="276" spans="5:6" x14ac:dyDescent="0.3">
      <c r="E276" s="10" t="str">
        <f t="shared" si="4"/>
        <v/>
      </c>
      <c r="F276" s="10" t="str">
        <f>IF($A276="","",IF(ISNA(MATCH($B276,Artikel!$B:$B,0)),"ohne Artikel",IF(N($E276)=0,"",ROUNDDOWN(INDEX(Artikel!$K:$K,MATCH($B276,Artikel!$B:$B,0))/$E276,0))))</f>
        <v/>
      </c>
    </row>
    <row r="277" spans="5:6" x14ac:dyDescent="0.3">
      <c r="E277" s="10" t="str">
        <f t="shared" si="4"/>
        <v/>
      </c>
      <c r="F277" s="10" t="str">
        <f>IF($A277="","",IF(ISNA(MATCH($B277,Artikel!$B:$B,0)),"ohne Artikel",IF(N($E277)=0,"",ROUNDDOWN(INDEX(Artikel!$K:$K,MATCH($B277,Artikel!$B:$B,0))/$E277,0))))</f>
        <v/>
      </c>
    </row>
    <row r="278" spans="5:6" x14ac:dyDescent="0.3">
      <c r="E278" s="10" t="str">
        <f t="shared" si="4"/>
        <v/>
      </c>
      <c r="F278" s="10" t="str">
        <f>IF($A278="","",IF(ISNA(MATCH($B278,Artikel!$B:$B,0)),"ohne Artikel",IF(N($E278)=0,"",ROUNDDOWN(INDEX(Artikel!$K:$K,MATCH($B278,Artikel!$B:$B,0))/$E278,0))))</f>
        <v/>
      </c>
    </row>
    <row r="279" spans="5:6" x14ac:dyDescent="0.3">
      <c r="E279" s="10" t="str">
        <f t="shared" si="4"/>
        <v/>
      </c>
      <c r="F279" s="10" t="str">
        <f>IF($A279="","",IF(ISNA(MATCH($B279,Artikel!$B:$B,0)),"ohne Artikel",IF(N($E279)=0,"",ROUNDDOWN(INDEX(Artikel!$K:$K,MATCH($B279,Artikel!$B:$B,0))/$E279,0))))</f>
        <v/>
      </c>
    </row>
    <row r="280" spans="5:6" x14ac:dyDescent="0.3">
      <c r="E280" s="10" t="str">
        <f t="shared" si="4"/>
        <v/>
      </c>
      <c r="F280" s="10" t="str">
        <f>IF($A280="","",IF(ISNA(MATCH($B280,Artikel!$B:$B,0)),"ohne Artikel",IF(N($E280)=0,"",ROUNDDOWN(INDEX(Artikel!$K:$K,MATCH($B280,Artikel!$B:$B,0))/$E280,0))))</f>
        <v/>
      </c>
    </row>
    <row r="281" spans="5:6" x14ac:dyDescent="0.3">
      <c r="E281" s="10" t="str">
        <f t="shared" si="4"/>
        <v/>
      </c>
      <c r="F281" s="10" t="str">
        <f>IF($A281="","",IF(ISNA(MATCH($B281,Artikel!$B:$B,0)),"ohne Artikel",IF(N($E281)=0,"",ROUNDDOWN(INDEX(Artikel!$K:$K,MATCH($B281,Artikel!$B:$B,0))/$E281,0))))</f>
        <v/>
      </c>
    </row>
    <row r="282" spans="5:6" x14ac:dyDescent="0.3">
      <c r="E282" s="10" t="str">
        <f t="shared" si="4"/>
        <v/>
      </c>
      <c r="F282" s="10" t="str">
        <f>IF($A282="","",IF(ISNA(MATCH($B282,Artikel!$B:$B,0)),"ohne Artikel",IF(N($E282)=0,"",ROUNDDOWN(INDEX(Artikel!$K:$K,MATCH($B282,Artikel!$B:$B,0))/$E282,0))))</f>
        <v/>
      </c>
    </row>
    <row r="283" spans="5:6" x14ac:dyDescent="0.3">
      <c r="E283" s="10" t="str">
        <f t="shared" si="4"/>
        <v/>
      </c>
      <c r="F283" s="10" t="str">
        <f>IF($A283="","",IF(ISNA(MATCH($B283,Artikel!$B:$B,0)),"ohne Artikel",IF(N($E283)=0,"",ROUNDDOWN(INDEX(Artikel!$K:$K,MATCH($B283,Artikel!$B:$B,0))/$E283,0))))</f>
        <v/>
      </c>
    </row>
    <row r="284" spans="5:6" x14ac:dyDescent="0.3">
      <c r="E284" s="10" t="str">
        <f t="shared" si="4"/>
        <v/>
      </c>
      <c r="F284" s="10" t="str">
        <f>IF($A284="","",IF(ISNA(MATCH($B284,Artikel!$B:$B,0)),"ohne Artikel",IF(N($E284)=0,"",ROUNDDOWN(INDEX(Artikel!$K:$K,MATCH($B284,Artikel!$B:$B,0))/$E284,0))))</f>
        <v/>
      </c>
    </row>
    <row r="285" spans="5:6" x14ac:dyDescent="0.3">
      <c r="E285" s="10" t="str">
        <f t="shared" si="4"/>
        <v/>
      </c>
      <c r="F285" s="10" t="str">
        <f>IF($A285="","",IF(ISNA(MATCH($B285,Artikel!$B:$B,0)),"ohne Artikel",IF(N($E285)=0,"",ROUNDDOWN(INDEX(Artikel!$K:$K,MATCH($B285,Artikel!$B:$B,0))/$E285,0))))</f>
        <v/>
      </c>
    </row>
    <row r="286" spans="5:6" x14ac:dyDescent="0.3">
      <c r="E286" s="10" t="str">
        <f t="shared" si="4"/>
        <v/>
      </c>
      <c r="F286" s="10" t="str">
        <f>IF($A286="","",IF(ISNA(MATCH($B286,Artikel!$B:$B,0)),"ohne Artikel",IF(N($E286)=0,"",ROUNDDOWN(INDEX(Artikel!$K:$K,MATCH($B286,Artikel!$B:$B,0))/$E286,0))))</f>
        <v/>
      </c>
    </row>
    <row r="287" spans="5:6" x14ac:dyDescent="0.3">
      <c r="E287" s="10" t="str">
        <f t="shared" si="4"/>
        <v/>
      </c>
      <c r="F287" s="10" t="str">
        <f>IF($A287="","",IF(ISNA(MATCH($B287,Artikel!$B:$B,0)),"ohne Artikel",IF(N($E287)=0,"",ROUNDDOWN(INDEX(Artikel!$K:$K,MATCH($B287,Artikel!$B:$B,0))/$E287,0))))</f>
        <v/>
      </c>
    </row>
    <row r="288" spans="5:6" x14ac:dyDescent="0.3">
      <c r="E288" s="10" t="str">
        <f t="shared" si="4"/>
        <v/>
      </c>
      <c r="F288" s="10" t="str">
        <f>IF($A288="","",IF(ISNA(MATCH($B288,Artikel!$B:$B,0)),"ohne Artikel",IF(N($E288)=0,"",ROUNDDOWN(INDEX(Artikel!$K:$K,MATCH($B288,Artikel!$B:$B,0))/$E288,0))))</f>
        <v/>
      </c>
    </row>
    <row r="289" spans="5:6" x14ac:dyDescent="0.3">
      <c r="E289" s="10" t="str">
        <f t="shared" si="4"/>
        <v/>
      </c>
      <c r="F289" s="10" t="str">
        <f>IF($A289="","",IF(ISNA(MATCH($B289,Artikel!$B:$B,0)),"ohne Artikel",IF(N($E289)=0,"",ROUNDDOWN(INDEX(Artikel!$K:$K,MATCH($B289,Artikel!$B:$B,0))/$E289,0))))</f>
        <v/>
      </c>
    </row>
    <row r="290" spans="5:6" x14ac:dyDescent="0.3">
      <c r="E290" s="10" t="str">
        <f t="shared" si="4"/>
        <v/>
      </c>
      <c r="F290" s="10" t="str">
        <f>IF($A290="","",IF(ISNA(MATCH($B290,Artikel!$B:$B,0)),"ohne Artikel",IF(N($E290)=0,"",ROUNDDOWN(INDEX(Artikel!$K:$K,MATCH($B290,Artikel!$B:$B,0))/$E290,0))))</f>
        <v/>
      </c>
    </row>
    <row r="291" spans="5:6" x14ac:dyDescent="0.3">
      <c r="E291" s="10" t="str">
        <f t="shared" si="4"/>
        <v/>
      </c>
      <c r="F291" s="10" t="str">
        <f>IF($A291="","",IF(ISNA(MATCH($B291,Artikel!$B:$B,0)),"ohne Artikel",IF(N($E291)=0,"",ROUNDDOWN(INDEX(Artikel!$K:$K,MATCH($B291,Artikel!$B:$B,0))/$E291,0))))</f>
        <v/>
      </c>
    </row>
    <row r="292" spans="5:6" x14ac:dyDescent="0.3">
      <c r="E292" s="10" t="str">
        <f t="shared" si="4"/>
        <v/>
      </c>
      <c r="F292" s="10" t="str">
        <f>IF($A292="","",IF(ISNA(MATCH($B292,Artikel!$B:$B,0)),"ohne Artikel",IF(N($E292)=0,"",ROUNDDOWN(INDEX(Artikel!$K:$K,MATCH($B292,Artikel!$B:$B,0))/$E292,0))))</f>
        <v/>
      </c>
    </row>
    <row r="293" spans="5:6" x14ac:dyDescent="0.3">
      <c r="E293" s="10" t="str">
        <f t="shared" si="4"/>
        <v/>
      </c>
      <c r="F293" s="10" t="str">
        <f>IF($A293="","",IF(ISNA(MATCH($B293,Artikel!$B:$B,0)),"ohne Artikel",IF(N($E293)=0,"",ROUNDDOWN(INDEX(Artikel!$K:$K,MATCH($B293,Artikel!$B:$B,0))/$E293,0))))</f>
        <v/>
      </c>
    </row>
    <row r="294" spans="5:6" x14ac:dyDescent="0.3">
      <c r="E294" s="10" t="str">
        <f t="shared" si="4"/>
        <v/>
      </c>
      <c r="F294" s="10" t="str">
        <f>IF($A294="","",IF(ISNA(MATCH($B294,Artikel!$B:$B,0)),"ohne Artikel",IF(N($E294)=0,"",ROUNDDOWN(INDEX(Artikel!$K:$K,MATCH($B294,Artikel!$B:$B,0))/$E294,0))))</f>
        <v/>
      </c>
    </row>
    <row r="295" spans="5:6" x14ac:dyDescent="0.3">
      <c r="E295" s="10" t="str">
        <f t="shared" si="4"/>
        <v/>
      </c>
      <c r="F295" s="10" t="str">
        <f>IF($A295="","",IF(ISNA(MATCH($B295,Artikel!$B:$B,0)),"ohne Artikel",IF(N($E295)=0,"",ROUNDDOWN(INDEX(Artikel!$K:$K,MATCH($B295,Artikel!$B:$B,0))/$E295,0))))</f>
        <v/>
      </c>
    </row>
    <row r="296" spans="5:6" x14ac:dyDescent="0.3">
      <c r="E296" s="10" t="str">
        <f t="shared" si="4"/>
        <v/>
      </c>
      <c r="F296" s="10" t="str">
        <f>IF($A296="","",IF(ISNA(MATCH($B296,Artikel!$B:$B,0)),"ohne Artikel",IF(N($E296)=0,"",ROUNDDOWN(INDEX(Artikel!$K:$K,MATCH($B296,Artikel!$B:$B,0))/$E296,0))))</f>
        <v/>
      </c>
    </row>
    <row r="297" spans="5:6" x14ac:dyDescent="0.3">
      <c r="E297" s="10" t="str">
        <f t="shared" si="4"/>
        <v/>
      </c>
      <c r="F297" s="10" t="str">
        <f>IF($A297="","",IF(ISNA(MATCH($B297,Artikel!$B:$B,0)),"ohne Artikel",IF(N($E297)=0,"",ROUNDDOWN(INDEX(Artikel!$K:$K,MATCH($B297,Artikel!$B:$B,0))/$E297,0))))</f>
        <v/>
      </c>
    </row>
    <row r="298" spans="5:6" x14ac:dyDescent="0.3">
      <c r="E298" s="10" t="str">
        <f t="shared" si="4"/>
        <v/>
      </c>
      <c r="F298" s="10" t="str">
        <f>IF($A298="","",IF(ISNA(MATCH($B298,Artikel!$B:$B,0)),"ohne Artikel",IF(N($E298)=0,"",ROUNDDOWN(INDEX(Artikel!$K:$K,MATCH($B298,Artikel!$B:$B,0))/$E298,0))))</f>
        <v/>
      </c>
    </row>
    <row r="299" spans="5:6" x14ac:dyDescent="0.3">
      <c r="E299" s="10" t="str">
        <f t="shared" si="4"/>
        <v/>
      </c>
      <c r="F299" s="10" t="str">
        <f>IF($A299="","",IF(ISNA(MATCH($B299,Artikel!$B:$B,0)),"ohne Artikel",IF(N($E299)=0,"",ROUNDDOWN(INDEX(Artikel!$K:$K,MATCH($B299,Artikel!$B:$B,0))/$E299,0))))</f>
        <v/>
      </c>
    </row>
    <row r="300" spans="5:6" x14ac:dyDescent="0.3">
      <c r="E300" s="10" t="str">
        <f t="shared" si="4"/>
        <v/>
      </c>
      <c r="F300" s="10" t="str">
        <f>IF($A300="","",IF(ISNA(MATCH($B300,Artikel!$B:$B,0)),"ohne Artikel",IF(N($E300)=0,"",ROUNDDOWN(INDEX(Artikel!$K:$K,MATCH($B300,Artikel!$B:$B,0))/$E300,0))))</f>
        <v/>
      </c>
    </row>
    <row r="301" spans="5:6" x14ac:dyDescent="0.3">
      <c r="E301" s="10" t="str">
        <f t="shared" si="4"/>
        <v/>
      </c>
      <c r="F301" s="10" t="str">
        <f>IF($A301="","",IF(ISNA(MATCH($B301,Artikel!$B:$B,0)),"ohne Artikel",IF(N($E301)=0,"",ROUNDDOWN(INDEX(Artikel!$K:$K,MATCH($B301,Artikel!$B:$B,0))/$E301,0))))</f>
        <v/>
      </c>
    </row>
    <row r="302" spans="5:6" x14ac:dyDescent="0.3">
      <c r="E302" s="10" t="str">
        <f t="shared" si="4"/>
        <v/>
      </c>
      <c r="F302" s="10" t="str">
        <f>IF($A302="","",IF(ISNA(MATCH($B302,Artikel!$B:$B,0)),"ohne Artikel",IF(N($E302)=0,"",ROUNDDOWN(INDEX(Artikel!$K:$K,MATCH($B302,Artikel!$B:$B,0))/$E302,0))))</f>
        <v/>
      </c>
    </row>
    <row r="303" spans="5:6" x14ac:dyDescent="0.3">
      <c r="E303" s="10" t="str">
        <f t="shared" si="4"/>
        <v/>
      </c>
      <c r="F303" s="10" t="str">
        <f>IF($A303="","",IF(ISNA(MATCH($B303,Artikel!$B:$B,0)),"ohne Artikel",IF(N($E303)=0,"",ROUNDDOWN(INDEX(Artikel!$K:$K,MATCH($B303,Artikel!$B:$B,0))/$E303,0))))</f>
        <v/>
      </c>
    </row>
    <row r="304" spans="5:6" x14ac:dyDescent="0.3">
      <c r="E304" s="10" t="str">
        <f t="shared" si="4"/>
        <v/>
      </c>
      <c r="F304" s="10" t="str">
        <f>IF($A304="","",IF(ISNA(MATCH($B304,Artikel!$B:$B,0)),"ohne Artikel",IF(N($E304)=0,"",ROUNDDOWN(INDEX(Artikel!$K:$K,MATCH($B304,Artikel!$B:$B,0))/$E304,0))))</f>
        <v/>
      </c>
    </row>
    <row r="305" spans="5:6" x14ac:dyDescent="0.3">
      <c r="E305" s="10" t="str">
        <f t="shared" si="4"/>
        <v/>
      </c>
      <c r="F305" s="10" t="str">
        <f>IF($A305="","",IF(ISNA(MATCH($B305,Artikel!$B:$B,0)),"ohne Artikel",IF(N($E305)=0,"",ROUNDDOWN(INDEX(Artikel!$K:$K,MATCH($B305,Artikel!$B:$B,0))/$E305,0))))</f>
        <v/>
      </c>
    </row>
    <row r="306" spans="5:6" x14ac:dyDescent="0.3">
      <c r="E306" s="10" t="str">
        <f t="shared" si="4"/>
        <v/>
      </c>
      <c r="F306" s="10" t="str">
        <f>IF($A306="","",IF(ISNA(MATCH($B306,Artikel!$B:$B,0)),"ohne Artikel",IF(N($E306)=0,"",ROUNDDOWN(INDEX(Artikel!$K:$K,MATCH($B306,Artikel!$B:$B,0))/$E306,0))))</f>
        <v/>
      </c>
    </row>
    <row r="307" spans="5:6" x14ac:dyDescent="0.3">
      <c r="E307" s="10" t="str">
        <f t="shared" si="4"/>
        <v/>
      </c>
      <c r="F307" s="10" t="str">
        <f>IF($A307="","",IF(ISNA(MATCH($B307,Artikel!$B:$B,0)),"ohne Artikel",IF(N($E307)=0,"",ROUNDDOWN(INDEX(Artikel!$K:$K,MATCH($B307,Artikel!$B:$B,0))/$E307,0))))</f>
        <v/>
      </c>
    </row>
    <row r="308" spans="5:6" x14ac:dyDescent="0.3">
      <c r="E308" s="10" t="str">
        <f t="shared" si="4"/>
        <v/>
      </c>
      <c r="F308" s="10" t="str">
        <f>IF($A308="","",IF(ISNA(MATCH($B308,Artikel!$B:$B,0)),"ohne Artikel",IF(N($E308)=0,"",ROUNDDOWN(INDEX(Artikel!$K:$K,MATCH($B308,Artikel!$B:$B,0))/$E308,0))))</f>
        <v/>
      </c>
    </row>
    <row r="309" spans="5:6" x14ac:dyDescent="0.3">
      <c r="E309" s="10" t="str">
        <f t="shared" si="4"/>
        <v/>
      </c>
      <c r="F309" s="10" t="str">
        <f>IF($A309="","",IF(ISNA(MATCH($B309,Artikel!$B:$B,0)),"ohne Artikel",IF(N($E309)=0,"",ROUNDDOWN(INDEX(Artikel!$K:$K,MATCH($B309,Artikel!$B:$B,0))/$E309,0))))</f>
        <v/>
      </c>
    </row>
    <row r="310" spans="5:6" x14ac:dyDescent="0.3">
      <c r="E310" s="10" t="str">
        <f t="shared" si="4"/>
        <v/>
      </c>
      <c r="F310" s="10" t="str">
        <f>IF($A310="","",IF(ISNA(MATCH($B310,Artikel!$B:$B,0)),"ohne Artikel",IF(N($E310)=0,"",ROUNDDOWN(INDEX(Artikel!$K:$K,MATCH($B310,Artikel!$B:$B,0))/$E310,0))))</f>
        <v/>
      </c>
    </row>
    <row r="311" spans="5:6" x14ac:dyDescent="0.3">
      <c r="E311" s="10" t="str">
        <f t="shared" si="4"/>
        <v/>
      </c>
      <c r="F311" s="10" t="str">
        <f>IF($A311="","",IF(ISNA(MATCH($B311,Artikel!$B:$B,0)),"ohne Artikel",IF(N($E311)=0,"",ROUNDDOWN(INDEX(Artikel!$K:$K,MATCH($B311,Artikel!$B:$B,0))/$E311,0))))</f>
        <v/>
      </c>
    </row>
    <row r="312" spans="5:6" x14ac:dyDescent="0.3">
      <c r="E312" s="10" t="str">
        <f t="shared" si="4"/>
        <v/>
      </c>
      <c r="F312" s="10" t="str">
        <f>IF($A312="","",IF(ISNA(MATCH($B312,Artikel!$B:$B,0)),"ohne Artikel",IF(N($E312)=0,"",ROUNDDOWN(INDEX(Artikel!$K:$K,MATCH($B312,Artikel!$B:$B,0))/$E312,0))))</f>
        <v/>
      </c>
    </row>
    <row r="313" spans="5:6" x14ac:dyDescent="0.3">
      <c r="E313" s="10" t="str">
        <f t="shared" si="4"/>
        <v/>
      </c>
      <c r="F313" s="10" t="str">
        <f>IF($A313="","",IF(ISNA(MATCH($B313,Artikel!$B:$B,0)),"ohne Artikel",IF(N($E313)=0,"",ROUNDDOWN(INDEX(Artikel!$K:$K,MATCH($B313,Artikel!$B:$B,0))/$E313,0))))</f>
        <v/>
      </c>
    </row>
    <row r="314" spans="5:6" x14ac:dyDescent="0.3">
      <c r="E314" s="10" t="str">
        <f t="shared" si="4"/>
        <v/>
      </c>
      <c r="F314" s="10" t="str">
        <f>IF($A314="","",IF(ISNA(MATCH($B314,Artikel!$B:$B,0)),"ohne Artikel",IF(N($E314)=0,"",ROUNDDOWN(INDEX(Artikel!$K:$K,MATCH($B314,Artikel!$B:$B,0))/$E314,0))))</f>
        <v/>
      </c>
    </row>
    <row r="315" spans="5:6" x14ac:dyDescent="0.3">
      <c r="E315" s="10" t="str">
        <f t="shared" si="4"/>
        <v/>
      </c>
      <c r="F315" s="10" t="str">
        <f>IF($A315="","",IF(ISNA(MATCH($B315,Artikel!$B:$B,0)),"ohne Artikel",IF(N($E315)=0,"",ROUNDDOWN(INDEX(Artikel!$K:$K,MATCH($B315,Artikel!$B:$B,0))/$E315,0))))</f>
        <v/>
      </c>
    </row>
    <row r="316" spans="5:6" x14ac:dyDescent="0.3">
      <c r="E316" s="10" t="str">
        <f t="shared" si="4"/>
        <v/>
      </c>
      <c r="F316" s="10" t="str">
        <f>IF($A316="","",IF(ISNA(MATCH($B316,Artikel!$B:$B,0)),"ohne Artikel",IF(N($E316)=0,"",ROUNDDOWN(INDEX(Artikel!$K:$K,MATCH($B316,Artikel!$B:$B,0))/$E316,0))))</f>
        <v/>
      </c>
    </row>
    <row r="317" spans="5:6" x14ac:dyDescent="0.3">
      <c r="E317" s="10" t="str">
        <f t="shared" si="4"/>
        <v/>
      </c>
      <c r="F317" s="10" t="str">
        <f>IF($A317="","",IF(ISNA(MATCH($B317,Artikel!$B:$B,0)),"ohne Artikel",IF(N($E317)=0,"",ROUNDDOWN(INDEX(Artikel!$K:$K,MATCH($B317,Artikel!$B:$B,0))/$E317,0))))</f>
        <v/>
      </c>
    </row>
    <row r="318" spans="5:6" x14ac:dyDescent="0.3">
      <c r="E318" s="10" t="str">
        <f t="shared" si="4"/>
        <v/>
      </c>
      <c r="F318" s="10" t="str">
        <f>IF($A318="","",IF(ISNA(MATCH($B318,Artikel!$B:$B,0)),"ohne Artikel",IF(N($E318)=0,"",ROUNDDOWN(INDEX(Artikel!$K:$K,MATCH($B318,Artikel!$B:$B,0))/$E318,0))))</f>
        <v/>
      </c>
    </row>
    <row r="319" spans="5:6" x14ac:dyDescent="0.3">
      <c r="E319" s="10" t="str">
        <f t="shared" si="4"/>
        <v/>
      </c>
      <c r="F319" s="10" t="str">
        <f>IF($A319="","",IF(ISNA(MATCH($B319,Artikel!$B:$B,0)),"ohne Artikel",IF(N($E319)=0,"",ROUNDDOWN(INDEX(Artikel!$K:$K,MATCH($B319,Artikel!$B:$B,0))/$E319,0))))</f>
        <v/>
      </c>
    </row>
    <row r="320" spans="5:6" x14ac:dyDescent="0.3">
      <c r="E320" s="10" t="str">
        <f t="shared" si="4"/>
        <v/>
      </c>
      <c r="F320" s="10" t="str">
        <f>IF($A320="","",IF(ISNA(MATCH($B320,Artikel!$B:$B,0)),"ohne Artikel",IF(N($E320)=0,"",ROUNDDOWN(INDEX(Artikel!$K:$K,MATCH($B320,Artikel!$B:$B,0))/$E320,0))))</f>
        <v/>
      </c>
    </row>
    <row r="321" spans="5:6" x14ac:dyDescent="0.3">
      <c r="E321" s="10" t="str">
        <f t="shared" si="4"/>
        <v/>
      </c>
      <c r="F321" s="10" t="str">
        <f>IF($A321="","",IF(ISNA(MATCH($B321,Artikel!$B:$B,0)),"ohne Artikel",IF(N($E321)=0,"",ROUNDDOWN(INDEX(Artikel!$K:$K,MATCH($B321,Artikel!$B:$B,0))/$E321,0))))</f>
        <v/>
      </c>
    </row>
    <row r="322" spans="5:6" x14ac:dyDescent="0.3">
      <c r="E322" s="10" t="str">
        <f t="shared" ref="E322:E385" si="5">IF($A322="","",$C322*IF($D322="cl",10,IF(OR($D322="l",$D322="kg"),1000,1)))</f>
        <v/>
      </c>
      <c r="F322" s="10" t="str">
        <f>IF($A322="","",IF(ISNA(MATCH($B322,Artikel!$B:$B,0)),"ohne Artikel",IF(N($E322)=0,"",ROUNDDOWN(INDEX(Artikel!$K:$K,MATCH($B322,Artikel!$B:$B,0))/$E322,0))))</f>
        <v/>
      </c>
    </row>
    <row r="323" spans="5:6" x14ac:dyDescent="0.3">
      <c r="E323" s="10" t="str">
        <f t="shared" si="5"/>
        <v/>
      </c>
      <c r="F323" s="10" t="str">
        <f>IF($A323="","",IF(ISNA(MATCH($B323,Artikel!$B:$B,0)),"ohne Artikel",IF(N($E323)=0,"",ROUNDDOWN(INDEX(Artikel!$K:$K,MATCH($B323,Artikel!$B:$B,0))/$E323,0))))</f>
        <v/>
      </c>
    </row>
    <row r="324" spans="5:6" x14ac:dyDescent="0.3">
      <c r="E324" s="10" t="str">
        <f t="shared" si="5"/>
        <v/>
      </c>
      <c r="F324" s="10" t="str">
        <f>IF($A324="","",IF(ISNA(MATCH($B324,Artikel!$B:$B,0)),"ohne Artikel",IF(N($E324)=0,"",ROUNDDOWN(INDEX(Artikel!$K:$K,MATCH($B324,Artikel!$B:$B,0))/$E324,0))))</f>
        <v/>
      </c>
    </row>
    <row r="325" spans="5:6" x14ac:dyDescent="0.3">
      <c r="E325" s="10" t="str">
        <f t="shared" si="5"/>
        <v/>
      </c>
      <c r="F325" s="10" t="str">
        <f>IF($A325="","",IF(ISNA(MATCH($B325,Artikel!$B:$B,0)),"ohne Artikel",IF(N($E325)=0,"",ROUNDDOWN(INDEX(Artikel!$K:$K,MATCH($B325,Artikel!$B:$B,0))/$E325,0))))</f>
        <v/>
      </c>
    </row>
    <row r="326" spans="5:6" x14ac:dyDescent="0.3">
      <c r="E326" s="10" t="str">
        <f t="shared" si="5"/>
        <v/>
      </c>
      <c r="F326" s="10" t="str">
        <f>IF($A326="","",IF(ISNA(MATCH($B326,Artikel!$B:$B,0)),"ohne Artikel",IF(N($E326)=0,"",ROUNDDOWN(INDEX(Artikel!$K:$K,MATCH($B326,Artikel!$B:$B,0))/$E326,0))))</f>
        <v/>
      </c>
    </row>
    <row r="327" spans="5:6" x14ac:dyDescent="0.3">
      <c r="E327" s="10" t="str">
        <f t="shared" si="5"/>
        <v/>
      </c>
      <c r="F327" s="10" t="str">
        <f>IF($A327="","",IF(ISNA(MATCH($B327,Artikel!$B:$B,0)),"ohne Artikel",IF(N($E327)=0,"",ROUNDDOWN(INDEX(Artikel!$K:$K,MATCH($B327,Artikel!$B:$B,0))/$E327,0))))</f>
        <v/>
      </c>
    </row>
    <row r="328" spans="5:6" x14ac:dyDescent="0.3">
      <c r="E328" s="10" t="str">
        <f t="shared" si="5"/>
        <v/>
      </c>
      <c r="F328" s="10" t="str">
        <f>IF($A328="","",IF(ISNA(MATCH($B328,Artikel!$B:$B,0)),"ohne Artikel",IF(N($E328)=0,"",ROUNDDOWN(INDEX(Artikel!$K:$K,MATCH($B328,Artikel!$B:$B,0))/$E328,0))))</f>
        <v/>
      </c>
    </row>
    <row r="329" spans="5:6" x14ac:dyDescent="0.3">
      <c r="E329" s="10" t="str">
        <f t="shared" si="5"/>
        <v/>
      </c>
      <c r="F329" s="10" t="str">
        <f>IF($A329="","",IF(ISNA(MATCH($B329,Artikel!$B:$B,0)),"ohne Artikel",IF(N($E329)=0,"",ROUNDDOWN(INDEX(Artikel!$K:$K,MATCH($B329,Artikel!$B:$B,0))/$E329,0))))</f>
        <v/>
      </c>
    </row>
    <row r="330" spans="5:6" x14ac:dyDescent="0.3">
      <c r="E330" s="10" t="str">
        <f t="shared" si="5"/>
        <v/>
      </c>
      <c r="F330" s="10" t="str">
        <f>IF($A330="","",IF(ISNA(MATCH($B330,Artikel!$B:$B,0)),"ohne Artikel",IF(N($E330)=0,"",ROUNDDOWN(INDEX(Artikel!$K:$K,MATCH($B330,Artikel!$B:$B,0))/$E330,0))))</f>
        <v/>
      </c>
    </row>
    <row r="331" spans="5:6" x14ac:dyDescent="0.3">
      <c r="E331" s="10" t="str">
        <f t="shared" si="5"/>
        <v/>
      </c>
      <c r="F331" s="10" t="str">
        <f>IF($A331="","",IF(ISNA(MATCH($B331,Artikel!$B:$B,0)),"ohne Artikel",IF(N($E331)=0,"",ROUNDDOWN(INDEX(Artikel!$K:$K,MATCH($B331,Artikel!$B:$B,0))/$E331,0))))</f>
        <v/>
      </c>
    </row>
    <row r="332" spans="5:6" x14ac:dyDescent="0.3">
      <c r="E332" s="10" t="str">
        <f t="shared" si="5"/>
        <v/>
      </c>
      <c r="F332" s="10" t="str">
        <f>IF($A332="","",IF(ISNA(MATCH($B332,Artikel!$B:$B,0)),"ohne Artikel",IF(N($E332)=0,"",ROUNDDOWN(INDEX(Artikel!$K:$K,MATCH($B332,Artikel!$B:$B,0))/$E332,0))))</f>
        <v/>
      </c>
    </row>
    <row r="333" spans="5:6" x14ac:dyDescent="0.3">
      <c r="E333" s="10" t="str">
        <f t="shared" si="5"/>
        <v/>
      </c>
      <c r="F333" s="10" t="str">
        <f>IF($A333="","",IF(ISNA(MATCH($B333,Artikel!$B:$B,0)),"ohne Artikel",IF(N($E333)=0,"",ROUNDDOWN(INDEX(Artikel!$K:$K,MATCH($B333,Artikel!$B:$B,0))/$E333,0))))</f>
        <v/>
      </c>
    </row>
    <row r="334" spans="5:6" x14ac:dyDescent="0.3">
      <c r="E334" s="10" t="str">
        <f t="shared" si="5"/>
        <v/>
      </c>
      <c r="F334" s="10" t="str">
        <f>IF($A334="","",IF(ISNA(MATCH($B334,Artikel!$B:$B,0)),"ohne Artikel",IF(N($E334)=0,"",ROUNDDOWN(INDEX(Artikel!$K:$K,MATCH($B334,Artikel!$B:$B,0))/$E334,0))))</f>
        <v/>
      </c>
    </row>
    <row r="335" spans="5:6" x14ac:dyDescent="0.3">
      <c r="E335" s="10" t="str">
        <f t="shared" si="5"/>
        <v/>
      </c>
      <c r="F335" s="10" t="str">
        <f>IF($A335="","",IF(ISNA(MATCH($B335,Artikel!$B:$B,0)),"ohne Artikel",IF(N($E335)=0,"",ROUNDDOWN(INDEX(Artikel!$K:$K,MATCH($B335,Artikel!$B:$B,0))/$E335,0))))</f>
        <v/>
      </c>
    </row>
    <row r="336" spans="5:6" x14ac:dyDescent="0.3">
      <c r="E336" s="10" t="str">
        <f t="shared" si="5"/>
        <v/>
      </c>
      <c r="F336" s="10" t="str">
        <f>IF($A336="","",IF(ISNA(MATCH($B336,Artikel!$B:$B,0)),"ohne Artikel",IF(N($E336)=0,"",ROUNDDOWN(INDEX(Artikel!$K:$K,MATCH($B336,Artikel!$B:$B,0))/$E336,0))))</f>
        <v/>
      </c>
    </row>
    <row r="337" spans="5:6" x14ac:dyDescent="0.3">
      <c r="E337" s="10" t="str">
        <f t="shared" si="5"/>
        <v/>
      </c>
      <c r="F337" s="10" t="str">
        <f>IF($A337="","",IF(ISNA(MATCH($B337,Artikel!$B:$B,0)),"ohne Artikel",IF(N($E337)=0,"",ROUNDDOWN(INDEX(Artikel!$K:$K,MATCH($B337,Artikel!$B:$B,0))/$E337,0))))</f>
        <v/>
      </c>
    </row>
    <row r="338" spans="5:6" x14ac:dyDescent="0.3">
      <c r="E338" s="10" t="str">
        <f t="shared" si="5"/>
        <v/>
      </c>
      <c r="F338" s="10" t="str">
        <f>IF($A338="","",IF(ISNA(MATCH($B338,Artikel!$B:$B,0)),"ohne Artikel",IF(N($E338)=0,"",ROUNDDOWN(INDEX(Artikel!$K:$K,MATCH($B338,Artikel!$B:$B,0))/$E338,0))))</f>
        <v/>
      </c>
    </row>
    <row r="339" spans="5:6" x14ac:dyDescent="0.3">
      <c r="E339" s="10" t="str">
        <f t="shared" si="5"/>
        <v/>
      </c>
      <c r="F339" s="10" t="str">
        <f>IF($A339="","",IF(ISNA(MATCH($B339,Artikel!$B:$B,0)),"ohne Artikel",IF(N($E339)=0,"",ROUNDDOWN(INDEX(Artikel!$K:$K,MATCH($B339,Artikel!$B:$B,0))/$E339,0))))</f>
        <v/>
      </c>
    </row>
    <row r="340" spans="5:6" x14ac:dyDescent="0.3">
      <c r="E340" s="10" t="str">
        <f t="shared" si="5"/>
        <v/>
      </c>
      <c r="F340" s="10" t="str">
        <f>IF($A340="","",IF(ISNA(MATCH($B340,Artikel!$B:$B,0)),"ohne Artikel",IF(N($E340)=0,"",ROUNDDOWN(INDEX(Artikel!$K:$K,MATCH($B340,Artikel!$B:$B,0))/$E340,0))))</f>
        <v/>
      </c>
    </row>
    <row r="341" spans="5:6" x14ac:dyDescent="0.3">
      <c r="E341" s="10" t="str">
        <f t="shared" si="5"/>
        <v/>
      </c>
      <c r="F341" s="10" t="str">
        <f>IF($A341="","",IF(ISNA(MATCH($B341,Artikel!$B:$B,0)),"ohne Artikel",IF(N($E341)=0,"",ROUNDDOWN(INDEX(Artikel!$K:$K,MATCH($B341,Artikel!$B:$B,0))/$E341,0))))</f>
        <v/>
      </c>
    </row>
    <row r="342" spans="5:6" x14ac:dyDescent="0.3">
      <c r="E342" s="10" t="str">
        <f t="shared" si="5"/>
        <v/>
      </c>
      <c r="F342" s="10" t="str">
        <f>IF($A342="","",IF(ISNA(MATCH($B342,Artikel!$B:$B,0)),"ohne Artikel",IF(N($E342)=0,"",ROUNDDOWN(INDEX(Artikel!$K:$K,MATCH($B342,Artikel!$B:$B,0))/$E342,0))))</f>
        <v/>
      </c>
    </row>
    <row r="343" spans="5:6" x14ac:dyDescent="0.3">
      <c r="E343" s="10" t="str">
        <f t="shared" si="5"/>
        <v/>
      </c>
      <c r="F343" s="10" t="str">
        <f>IF($A343="","",IF(ISNA(MATCH($B343,Artikel!$B:$B,0)),"ohne Artikel",IF(N($E343)=0,"",ROUNDDOWN(INDEX(Artikel!$K:$K,MATCH($B343,Artikel!$B:$B,0))/$E343,0))))</f>
        <v/>
      </c>
    </row>
    <row r="344" spans="5:6" x14ac:dyDescent="0.3">
      <c r="E344" s="10" t="str">
        <f t="shared" si="5"/>
        <v/>
      </c>
      <c r="F344" s="10" t="str">
        <f>IF($A344="","",IF(ISNA(MATCH($B344,Artikel!$B:$B,0)),"ohne Artikel",IF(N($E344)=0,"",ROUNDDOWN(INDEX(Artikel!$K:$K,MATCH($B344,Artikel!$B:$B,0))/$E344,0))))</f>
        <v/>
      </c>
    </row>
    <row r="345" spans="5:6" x14ac:dyDescent="0.3">
      <c r="E345" s="10" t="str">
        <f t="shared" si="5"/>
        <v/>
      </c>
      <c r="F345" s="10" t="str">
        <f>IF($A345="","",IF(ISNA(MATCH($B345,Artikel!$B:$B,0)),"ohne Artikel",IF(N($E345)=0,"",ROUNDDOWN(INDEX(Artikel!$K:$K,MATCH($B345,Artikel!$B:$B,0))/$E345,0))))</f>
        <v/>
      </c>
    </row>
    <row r="346" spans="5:6" x14ac:dyDescent="0.3">
      <c r="E346" s="10" t="str">
        <f t="shared" si="5"/>
        <v/>
      </c>
      <c r="F346" s="10" t="str">
        <f>IF($A346="","",IF(ISNA(MATCH($B346,Artikel!$B:$B,0)),"ohne Artikel",IF(N($E346)=0,"",ROUNDDOWN(INDEX(Artikel!$K:$K,MATCH($B346,Artikel!$B:$B,0))/$E346,0))))</f>
        <v/>
      </c>
    </row>
    <row r="347" spans="5:6" x14ac:dyDescent="0.3">
      <c r="E347" s="10" t="str">
        <f t="shared" si="5"/>
        <v/>
      </c>
      <c r="F347" s="10" t="str">
        <f>IF($A347="","",IF(ISNA(MATCH($B347,Artikel!$B:$B,0)),"ohne Artikel",IF(N($E347)=0,"",ROUNDDOWN(INDEX(Artikel!$K:$K,MATCH($B347,Artikel!$B:$B,0))/$E347,0))))</f>
        <v/>
      </c>
    </row>
    <row r="348" spans="5:6" x14ac:dyDescent="0.3">
      <c r="E348" s="10" t="str">
        <f t="shared" si="5"/>
        <v/>
      </c>
      <c r="F348" s="10" t="str">
        <f>IF($A348="","",IF(ISNA(MATCH($B348,Artikel!$B:$B,0)),"ohne Artikel",IF(N($E348)=0,"",ROUNDDOWN(INDEX(Artikel!$K:$K,MATCH($B348,Artikel!$B:$B,0))/$E348,0))))</f>
        <v/>
      </c>
    </row>
    <row r="349" spans="5:6" x14ac:dyDescent="0.3">
      <c r="E349" s="10" t="str">
        <f t="shared" si="5"/>
        <v/>
      </c>
      <c r="F349" s="10" t="str">
        <f>IF($A349="","",IF(ISNA(MATCH($B349,Artikel!$B:$B,0)),"ohne Artikel",IF(N($E349)=0,"",ROUNDDOWN(INDEX(Artikel!$K:$K,MATCH($B349,Artikel!$B:$B,0))/$E349,0))))</f>
        <v/>
      </c>
    </row>
    <row r="350" spans="5:6" x14ac:dyDescent="0.3">
      <c r="E350" s="10" t="str">
        <f t="shared" si="5"/>
        <v/>
      </c>
      <c r="F350" s="10" t="str">
        <f>IF($A350="","",IF(ISNA(MATCH($B350,Artikel!$B:$B,0)),"ohne Artikel",IF(N($E350)=0,"",ROUNDDOWN(INDEX(Artikel!$K:$K,MATCH($B350,Artikel!$B:$B,0))/$E350,0))))</f>
        <v/>
      </c>
    </row>
    <row r="351" spans="5:6" x14ac:dyDescent="0.3">
      <c r="E351" s="10" t="str">
        <f t="shared" si="5"/>
        <v/>
      </c>
      <c r="F351" s="10" t="str">
        <f>IF($A351="","",IF(ISNA(MATCH($B351,Artikel!$B:$B,0)),"ohne Artikel",IF(N($E351)=0,"",ROUNDDOWN(INDEX(Artikel!$K:$K,MATCH($B351,Artikel!$B:$B,0))/$E351,0))))</f>
        <v/>
      </c>
    </row>
    <row r="352" spans="5:6" x14ac:dyDescent="0.3">
      <c r="E352" s="10" t="str">
        <f t="shared" si="5"/>
        <v/>
      </c>
      <c r="F352" s="10" t="str">
        <f>IF($A352="","",IF(ISNA(MATCH($B352,Artikel!$B:$B,0)),"ohne Artikel",IF(N($E352)=0,"",ROUNDDOWN(INDEX(Artikel!$K:$K,MATCH($B352,Artikel!$B:$B,0))/$E352,0))))</f>
        <v/>
      </c>
    </row>
    <row r="353" spans="5:6" x14ac:dyDescent="0.3">
      <c r="E353" s="10" t="str">
        <f t="shared" si="5"/>
        <v/>
      </c>
      <c r="F353" s="10" t="str">
        <f>IF($A353="","",IF(ISNA(MATCH($B353,Artikel!$B:$B,0)),"ohne Artikel",IF(N($E353)=0,"",ROUNDDOWN(INDEX(Artikel!$K:$K,MATCH($B353,Artikel!$B:$B,0))/$E353,0))))</f>
        <v/>
      </c>
    </row>
    <row r="354" spans="5:6" x14ac:dyDescent="0.3">
      <c r="E354" s="10" t="str">
        <f t="shared" si="5"/>
        <v/>
      </c>
      <c r="F354" s="10" t="str">
        <f>IF($A354="","",IF(ISNA(MATCH($B354,Artikel!$B:$B,0)),"ohne Artikel",IF(N($E354)=0,"",ROUNDDOWN(INDEX(Artikel!$K:$K,MATCH($B354,Artikel!$B:$B,0))/$E354,0))))</f>
        <v/>
      </c>
    </row>
    <row r="355" spans="5:6" x14ac:dyDescent="0.3">
      <c r="E355" s="10" t="str">
        <f t="shared" si="5"/>
        <v/>
      </c>
      <c r="F355" s="10" t="str">
        <f>IF($A355="","",IF(ISNA(MATCH($B355,Artikel!$B:$B,0)),"ohne Artikel",IF(N($E355)=0,"",ROUNDDOWN(INDEX(Artikel!$K:$K,MATCH($B355,Artikel!$B:$B,0))/$E355,0))))</f>
        <v/>
      </c>
    </row>
    <row r="356" spans="5:6" x14ac:dyDescent="0.3">
      <c r="E356" s="10" t="str">
        <f t="shared" si="5"/>
        <v/>
      </c>
      <c r="F356" s="10" t="str">
        <f>IF($A356="","",IF(ISNA(MATCH($B356,Artikel!$B:$B,0)),"ohne Artikel",IF(N($E356)=0,"",ROUNDDOWN(INDEX(Artikel!$K:$K,MATCH($B356,Artikel!$B:$B,0))/$E356,0))))</f>
        <v/>
      </c>
    </row>
    <row r="357" spans="5:6" x14ac:dyDescent="0.3">
      <c r="E357" s="10" t="str">
        <f t="shared" si="5"/>
        <v/>
      </c>
      <c r="F357" s="10" t="str">
        <f>IF($A357="","",IF(ISNA(MATCH($B357,Artikel!$B:$B,0)),"ohne Artikel",IF(N($E357)=0,"",ROUNDDOWN(INDEX(Artikel!$K:$K,MATCH($B357,Artikel!$B:$B,0))/$E357,0))))</f>
        <v/>
      </c>
    </row>
    <row r="358" spans="5:6" x14ac:dyDescent="0.3">
      <c r="E358" s="10" t="str">
        <f t="shared" si="5"/>
        <v/>
      </c>
      <c r="F358" s="10" t="str">
        <f>IF($A358="","",IF(ISNA(MATCH($B358,Artikel!$B:$B,0)),"ohne Artikel",IF(N($E358)=0,"",ROUNDDOWN(INDEX(Artikel!$K:$K,MATCH($B358,Artikel!$B:$B,0))/$E358,0))))</f>
        <v/>
      </c>
    </row>
    <row r="359" spans="5:6" x14ac:dyDescent="0.3">
      <c r="E359" s="10" t="str">
        <f t="shared" si="5"/>
        <v/>
      </c>
      <c r="F359" s="10" t="str">
        <f>IF($A359="","",IF(ISNA(MATCH($B359,Artikel!$B:$B,0)),"ohne Artikel",IF(N($E359)=0,"",ROUNDDOWN(INDEX(Artikel!$K:$K,MATCH($B359,Artikel!$B:$B,0))/$E359,0))))</f>
        <v/>
      </c>
    </row>
    <row r="360" spans="5:6" x14ac:dyDescent="0.3">
      <c r="E360" s="10" t="str">
        <f t="shared" si="5"/>
        <v/>
      </c>
      <c r="F360" s="10" t="str">
        <f>IF($A360="","",IF(ISNA(MATCH($B360,Artikel!$B:$B,0)),"ohne Artikel",IF(N($E360)=0,"",ROUNDDOWN(INDEX(Artikel!$K:$K,MATCH($B360,Artikel!$B:$B,0))/$E360,0))))</f>
        <v/>
      </c>
    </row>
    <row r="361" spans="5:6" x14ac:dyDescent="0.3">
      <c r="E361" s="10" t="str">
        <f t="shared" si="5"/>
        <v/>
      </c>
      <c r="F361" s="10" t="str">
        <f>IF($A361="","",IF(ISNA(MATCH($B361,Artikel!$B:$B,0)),"ohne Artikel",IF(N($E361)=0,"",ROUNDDOWN(INDEX(Artikel!$K:$K,MATCH($B361,Artikel!$B:$B,0))/$E361,0))))</f>
        <v/>
      </c>
    </row>
    <row r="362" spans="5:6" x14ac:dyDescent="0.3">
      <c r="E362" s="10" t="str">
        <f t="shared" si="5"/>
        <v/>
      </c>
      <c r="F362" s="10" t="str">
        <f>IF($A362="","",IF(ISNA(MATCH($B362,Artikel!$B:$B,0)),"ohne Artikel",IF(N($E362)=0,"",ROUNDDOWN(INDEX(Artikel!$K:$K,MATCH($B362,Artikel!$B:$B,0))/$E362,0))))</f>
        <v/>
      </c>
    </row>
    <row r="363" spans="5:6" x14ac:dyDescent="0.3">
      <c r="E363" s="10" t="str">
        <f t="shared" si="5"/>
        <v/>
      </c>
      <c r="F363" s="10" t="str">
        <f>IF($A363="","",IF(ISNA(MATCH($B363,Artikel!$B:$B,0)),"ohne Artikel",IF(N($E363)=0,"",ROUNDDOWN(INDEX(Artikel!$K:$K,MATCH($B363,Artikel!$B:$B,0))/$E363,0))))</f>
        <v/>
      </c>
    </row>
    <row r="364" spans="5:6" x14ac:dyDescent="0.3">
      <c r="E364" s="10" t="str">
        <f t="shared" si="5"/>
        <v/>
      </c>
      <c r="F364" s="10" t="str">
        <f>IF($A364="","",IF(ISNA(MATCH($B364,Artikel!$B:$B,0)),"ohne Artikel",IF(N($E364)=0,"",ROUNDDOWN(INDEX(Artikel!$K:$K,MATCH($B364,Artikel!$B:$B,0))/$E364,0))))</f>
        <v/>
      </c>
    </row>
    <row r="365" spans="5:6" x14ac:dyDescent="0.3">
      <c r="E365" s="10" t="str">
        <f t="shared" si="5"/>
        <v/>
      </c>
      <c r="F365" s="10" t="str">
        <f>IF($A365="","",IF(ISNA(MATCH($B365,Artikel!$B:$B,0)),"ohne Artikel",IF(N($E365)=0,"",ROUNDDOWN(INDEX(Artikel!$K:$K,MATCH($B365,Artikel!$B:$B,0))/$E365,0))))</f>
        <v/>
      </c>
    </row>
    <row r="366" spans="5:6" x14ac:dyDescent="0.3">
      <c r="E366" s="10" t="str">
        <f t="shared" si="5"/>
        <v/>
      </c>
      <c r="F366" s="10" t="str">
        <f>IF($A366="","",IF(ISNA(MATCH($B366,Artikel!$B:$B,0)),"ohne Artikel",IF(N($E366)=0,"",ROUNDDOWN(INDEX(Artikel!$K:$K,MATCH($B366,Artikel!$B:$B,0))/$E366,0))))</f>
        <v/>
      </c>
    </row>
    <row r="367" spans="5:6" x14ac:dyDescent="0.3">
      <c r="E367" s="10" t="str">
        <f t="shared" si="5"/>
        <v/>
      </c>
      <c r="F367" s="10" t="str">
        <f>IF($A367="","",IF(ISNA(MATCH($B367,Artikel!$B:$B,0)),"ohne Artikel",IF(N($E367)=0,"",ROUNDDOWN(INDEX(Artikel!$K:$K,MATCH($B367,Artikel!$B:$B,0))/$E367,0))))</f>
        <v/>
      </c>
    </row>
    <row r="368" spans="5:6" x14ac:dyDescent="0.3">
      <c r="E368" s="10" t="str">
        <f t="shared" si="5"/>
        <v/>
      </c>
      <c r="F368" s="10" t="str">
        <f>IF($A368="","",IF(ISNA(MATCH($B368,Artikel!$B:$B,0)),"ohne Artikel",IF(N($E368)=0,"",ROUNDDOWN(INDEX(Artikel!$K:$K,MATCH($B368,Artikel!$B:$B,0))/$E368,0))))</f>
        <v/>
      </c>
    </row>
    <row r="369" spans="5:6" x14ac:dyDescent="0.3">
      <c r="E369" s="10" t="str">
        <f t="shared" si="5"/>
        <v/>
      </c>
      <c r="F369" s="10" t="str">
        <f>IF($A369="","",IF(ISNA(MATCH($B369,Artikel!$B:$B,0)),"ohne Artikel",IF(N($E369)=0,"",ROUNDDOWN(INDEX(Artikel!$K:$K,MATCH($B369,Artikel!$B:$B,0))/$E369,0))))</f>
        <v/>
      </c>
    </row>
    <row r="370" spans="5:6" x14ac:dyDescent="0.3">
      <c r="E370" s="10" t="str">
        <f t="shared" si="5"/>
        <v/>
      </c>
      <c r="F370" s="10" t="str">
        <f>IF($A370="","",IF(ISNA(MATCH($B370,Artikel!$B:$B,0)),"ohne Artikel",IF(N($E370)=0,"",ROUNDDOWN(INDEX(Artikel!$K:$K,MATCH($B370,Artikel!$B:$B,0))/$E370,0))))</f>
        <v/>
      </c>
    </row>
    <row r="371" spans="5:6" x14ac:dyDescent="0.3">
      <c r="E371" s="10" t="str">
        <f t="shared" si="5"/>
        <v/>
      </c>
      <c r="F371" s="10" t="str">
        <f>IF($A371="","",IF(ISNA(MATCH($B371,Artikel!$B:$B,0)),"ohne Artikel",IF(N($E371)=0,"",ROUNDDOWN(INDEX(Artikel!$K:$K,MATCH($B371,Artikel!$B:$B,0))/$E371,0))))</f>
        <v/>
      </c>
    </row>
    <row r="372" spans="5:6" x14ac:dyDescent="0.3">
      <c r="E372" s="10" t="str">
        <f t="shared" si="5"/>
        <v/>
      </c>
      <c r="F372" s="10" t="str">
        <f>IF($A372="","",IF(ISNA(MATCH($B372,Artikel!$B:$B,0)),"ohne Artikel",IF(N($E372)=0,"",ROUNDDOWN(INDEX(Artikel!$K:$K,MATCH($B372,Artikel!$B:$B,0))/$E372,0))))</f>
        <v/>
      </c>
    </row>
    <row r="373" spans="5:6" x14ac:dyDescent="0.3">
      <c r="E373" s="10" t="str">
        <f t="shared" si="5"/>
        <v/>
      </c>
      <c r="F373" s="10" t="str">
        <f>IF($A373="","",IF(ISNA(MATCH($B373,Artikel!$B:$B,0)),"ohne Artikel",IF(N($E373)=0,"",ROUNDDOWN(INDEX(Artikel!$K:$K,MATCH($B373,Artikel!$B:$B,0))/$E373,0))))</f>
        <v/>
      </c>
    </row>
    <row r="374" spans="5:6" x14ac:dyDescent="0.3">
      <c r="E374" s="10" t="str">
        <f t="shared" si="5"/>
        <v/>
      </c>
      <c r="F374" s="10" t="str">
        <f>IF($A374="","",IF(ISNA(MATCH($B374,Artikel!$B:$B,0)),"ohne Artikel",IF(N($E374)=0,"",ROUNDDOWN(INDEX(Artikel!$K:$K,MATCH($B374,Artikel!$B:$B,0))/$E374,0))))</f>
        <v/>
      </c>
    </row>
    <row r="375" spans="5:6" x14ac:dyDescent="0.3">
      <c r="E375" s="10" t="str">
        <f t="shared" si="5"/>
        <v/>
      </c>
      <c r="F375" s="10" t="str">
        <f>IF($A375="","",IF(ISNA(MATCH($B375,Artikel!$B:$B,0)),"ohne Artikel",IF(N($E375)=0,"",ROUNDDOWN(INDEX(Artikel!$K:$K,MATCH($B375,Artikel!$B:$B,0))/$E375,0))))</f>
        <v/>
      </c>
    </row>
    <row r="376" spans="5:6" x14ac:dyDescent="0.3">
      <c r="E376" s="10" t="str">
        <f t="shared" si="5"/>
        <v/>
      </c>
      <c r="F376" s="10" t="str">
        <f>IF($A376="","",IF(ISNA(MATCH($B376,Artikel!$B:$B,0)),"ohne Artikel",IF(N($E376)=0,"",ROUNDDOWN(INDEX(Artikel!$K:$K,MATCH($B376,Artikel!$B:$B,0))/$E376,0))))</f>
        <v/>
      </c>
    </row>
    <row r="377" spans="5:6" x14ac:dyDescent="0.3">
      <c r="E377" s="10" t="str">
        <f t="shared" si="5"/>
        <v/>
      </c>
      <c r="F377" s="10" t="str">
        <f>IF($A377="","",IF(ISNA(MATCH($B377,Artikel!$B:$B,0)),"ohne Artikel",IF(N($E377)=0,"",ROUNDDOWN(INDEX(Artikel!$K:$K,MATCH($B377,Artikel!$B:$B,0))/$E377,0))))</f>
        <v/>
      </c>
    </row>
    <row r="378" spans="5:6" x14ac:dyDescent="0.3">
      <c r="E378" s="10" t="str">
        <f t="shared" si="5"/>
        <v/>
      </c>
      <c r="F378" s="10" t="str">
        <f>IF($A378="","",IF(ISNA(MATCH($B378,Artikel!$B:$B,0)),"ohne Artikel",IF(N($E378)=0,"",ROUNDDOWN(INDEX(Artikel!$K:$K,MATCH($B378,Artikel!$B:$B,0))/$E378,0))))</f>
        <v/>
      </c>
    </row>
    <row r="379" spans="5:6" x14ac:dyDescent="0.3">
      <c r="E379" s="10" t="str">
        <f t="shared" si="5"/>
        <v/>
      </c>
      <c r="F379" s="10" t="str">
        <f>IF($A379="","",IF(ISNA(MATCH($B379,Artikel!$B:$B,0)),"ohne Artikel",IF(N($E379)=0,"",ROUNDDOWN(INDEX(Artikel!$K:$K,MATCH($B379,Artikel!$B:$B,0))/$E379,0))))</f>
        <v/>
      </c>
    </row>
    <row r="380" spans="5:6" x14ac:dyDescent="0.3">
      <c r="E380" s="10" t="str">
        <f t="shared" si="5"/>
        <v/>
      </c>
      <c r="F380" s="10" t="str">
        <f>IF($A380="","",IF(ISNA(MATCH($B380,Artikel!$B:$B,0)),"ohne Artikel",IF(N($E380)=0,"",ROUNDDOWN(INDEX(Artikel!$K:$K,MATCH($B380,Artikel!$B:$B,0))/$E380,0))))</f>
        <v/>
      </c>
    </row>
    <row r="381" spans="5:6" x14ac:dyDescent="0.3">
      <c r="E381" s="10" t="str">
        <f t="shared" si="5"/>
        <v/>
      </c>
      <c r="F381" s="10" t="str">
        <f>IF($A381="","",IF(ISNA(MATCH($B381,Artikel!$B:$B,0)),"ohne Artikel",IF(N($E381)=0,"",ROUNDDOWN(INDEX(Artikel!$K:$K,MATCH($B381,Artikel!$B:$B,0))/$E381,0))))</f>
        <v/>
      </c>
    </row>
    <row r="382" spans="5:6" x14ac:dyDescent="0.3">
      <c r="E382" s="10" t="str">
        <f t="shared" si="5"/>
        <v/>
      </c>
      <c r="F382" s="10" t="str">
        <f>IF($A382="","",IF(ISNA(MATCH($B382,Artikel!$B:$B,0)),"ohne Artikel",IF(N($E382)=0,"",ROUNDDOWN(INDEX(Artikel!$K:$K,MATCH($B382,Artikel!$B:$B,0))/$E382,0))))</f>
        <v/>
      </c>
    </row>
    <row r="383" spans="5:6" x14ac:dyDescent="0.3">
      <c r="E383" s="10" t="str">
        <f t="shared" si="5"/>
        <v/>
      </c>
      <c r="F383" s="10" t="str">
        <f>IF($A383="","",IF(ISNA(MATCH($B383,Artikel!$B:$B,0)),"ohne Artikel",IF(N($E383)=0,"",ROUNDDOWN(INDEX(Artikel!$K:$K,MATCH($B383,Artikel!$B:$B,0))/$E383,0))))</f>
        <v/>
      </c>
    </row>
    <row r="384" spans="5:6" x14ac:dyDescent="0.3">
      <c r="E384" s="10" t="str">
        <f t="shared" si="5"/>
        <v/>
      </c>
      <c r="F384" s="10" t="str">
        <f>IF($A384="","",IF(ISNA(MATCH($B384,Artikel!$B:$B,0)),"ohne Artikel",IF(N($E384)=0,"",ROUNDDOWN(INDEX(Artikel!$K:$K,MATCH($B384,Artikel!$B:$B,0))/$E384,0))))</f>
        <v/>
      </c>
    </row>
    <row r="385" spans="5:6" x14ac:dyDescent="0.3">
      <c r="E385" s="10" t="str">
        <f t="shared" si="5"/>
        <v/>
      </c>
      <c r="F385" s="10" t="str">
        <f>IF($A385="","",IF(ISNA(MATCH($B385,Artikel!$B:$B,0)),"ohne Artikel",IF(N($E385)=0,"",ROUNDDOWN(INDEX(Artikel!$K:$K,MATCH($B385,Artikel!$B:$B,0))/$E385,0))))</f>
        <v/>
      </c>
    </row>
    <row r="386" spans="5:6" x14ac:dyDescent="0.3">
      <c r="E386" s="10" t="str">
        <f t="shared" ref="E386:E400" si="6">IF($A386="","",$C386*IF($D386="cl",10,IF(OR($D386="l",$D386="kg"),1000,1)))</f>
        <v/>
      </c>
      <c r="F386" s="10" t="str">
        <f>IF($A386="","",IF(ISNA(MATCH($B386,Artikel!$B:$B,0)),"ohne Artikel",IF(N($E386)=0,"",ROUNDDOWN(INDEX(Artikel!$K:$K,MATCH($B386,Artikel!$B:$B,0))/$E386,0))))</f>
        <v/>
      </c>
    </row>
    <row r="387" spans="5:6" x14ac:dyDescent="0.3">
      <c r="E387" s="10" t="str">
        <f t="shared" si="6"/>
        <v/>
      </c>
      <c r="F387" s="10" t="str">
        <f>IF($A387="","",IF(ISNA(MATCH($B387,Artikel!$B:$B,0)),"ohne Artikel",IF(N($E387)=0,"",ROUNDDOWN(INDEX(Artikel!$K:$K,MATCH($B387,Artikel!$B:$B,0))/$E387,0))))</f>
        <v/>
      </c>
    </row>
    <row r="388" spans="5:6" x14ac:dyDescent="0.3">
      <c r="E388" s="10" t="str">
        <f t="shared" si="6"/>
        <v/>
      </c>
      <c r="F388" s="10" t="str">
        <f>IF($A388="","",IF(ISNA(MATCH($B388,Artikel!$B:$B,0)),"ohne Artikel",IF(N($E388)=0,"",ROUNDDOWN(INDEX(Artikel!$K:$K,MATCH($B388,Artikel!$B:$B,0))/$E388,0))))</f>
        <v/>
      </c>
    </row>
    <row r="389" spans="5:6" x14ac:dyDescent="0.3">
      <c r="E389" s="10" t="str">
        <f t="shared" si="6"/>
        <v/>
      </c>
      <c r="F389" s="10" t="str">
        <f>IF($A389="","",IF(ISNA(MATCH($B389,Artikel!$B:$B,0)),"ohne Artikel",IF(N($E389)=0,"",ROUNDDOWN(INDEX(Artikel!$K:$K,MATCH($B389,Artikel!$B:$B,0))/$E389,0))))</f>
        <v/>
      </c>
    </row>
    <row r="390" spans="5:6" x14ac:dyDescent="0.3">
      <c r="E390" s="10" t="str">
        <f t="shared" si="6"/>
        <v/>
      </c>
      <c r="F390" s="10" t="str">
        <f>IF($A390="","",IF(ISNA(MATCH($B390,Artikel!$B:$B,0)),"ohne Artikel",IF(N($E390)=0,"",ROUNDDOWN(INDEX(Artikel!$K:$K,MATCH($B390,Artikel!$B:$B,0))/$E390,0))))</f>
        <v/>
      </c>
    </row>
    <row r="391" spans="5:6" x14ac:dyDescent="0.3">
      <c r="E391" s="10" t="str">
        <f t="shared" si="6"/>
        <v/>
      </c>
      <c r="F391" s="10" t="str">
        <f>IF($A391="","",IF(ISNA(MATCH($B391,Artikel!$B:$B,0)),"ohne Artikel",IF(N($E391)=0,"",ROUNDDOWN(INDEX(Artikel!$K:$K,MATCH($B391,Artikel!$B:$B,0))/$E391,0))))</f>
        <v/>
      </c>
    </row>
    <row r="392" spans="5:6" x14ac:dyDescent="0.3">
      <c r="E392" s="10" t="str">
        <f t="shared" si="6"/>
        <v/>
      </c>
      <c r="F392" s="10" t="str">
        <f>IF($A392="","",IF(ISNA(MATCH($B392,Artikel!$B:$B,0)),"ohne Artikel",IF(N($E392)=0,"",ROUNDDOWN(INDEX(Artikel!$K:$K,MATCH($B392,Artikel!$B:$B,0))/$E392,0))))</f>
        <v/>
      </c>
    </row>
    <row r="393" spans="5:6" x14ac:dyDescent="0.3">
      <c r="E393" s="10" t="str">
        <f t="shared" si="6"/>
        <v/>
      </c>
      <c r="F393" s="10" t="str">
        <f>IF($A393="","",IF(ISNA(MATCH($B393,Artikel!$B:$B,0)),"ohne Artikel",IF(N($E393)=0,"",ROUNDDOWN(INDEX(Artikel!$K:$K,MATCH($B393,Artikel!$B:$B,0))/$E393,0))))</f>
        <v/>
      </c>
    </row>
    <row r="394" spans="5:6" x14ac:dyDescent="0.3">
      <c r="E394" s="10" t="str">
        <f t="shared" si="6"/>
        <v/>
      </c>
      <c r="F394" s="10" t="str">
        <f>IF($A394="","",IF(ISNA(MATCH($B394,Artikel!$B:$B,0)),"ohne Artikel",IF(N($E394)=0,"",ROUNDDOWN(INDEX(Artikel!$K:$K,MATCH($B394,Artikel!$B:$B,0))/$E394,0))))</f>
        <v/>
      </c>
    </row>
    <row r="395" spans="5:6" x14ac:dyDescent="0.3">
      <c r="E395" s="10" t="str">
        <f t="shared" si="6"/>
        <v/>
      </c>
      <c r="F395" s="10" t="str">
        <f>IF($A395="","",IF(ISNA(MATCH($B395,Artikel!$B:$B,0)),"ohne Artikel",IF(N($E395)=0,"",ROUNDDOWN(INDEX(Artikel!$K:$K,MATCH($B395,Artikel!$B:$B,0))/$E395,0))))</f>
        <v/>
      </c>
    </row>
    <row r="396" spans="5:6" x14ac:dyDescent="0.3">
      <c r="E396" s="10" t="str">
        <f t="shared" si="6"/>
        <v/>
      </c>
      <c r="F396" s="10" t="str">
        <f>IF($A396="","",IF(ISNA(MATCH($B396,Artikel!$B:$B,0)),"ohne Artikel",IF(N($E396)=0,"",ROUNDDOWN(INDEX(Artikel!$K:$K,MATCH($B396,Artikel!$B:$B,0))/$E396,0))))</f>
        <v/>
      </c>
    </row>
    <row r="397" spans="5:6" x14ac:dyDescent="0.3">
      <c r="E397" s="10" t="str">
        <f t="shared" si="6"/>
        <v/>
      </c>
      <c r="F397" s="10" t="str">
        <f>IF($A397="","",IF(ISNA(MATCH($B397,Artikel!$B:$B,0)),"ohne Artikel",IF(N($E397)=0,"",ROUNDDOWN(INDEX(Artikel!$K:$K,MATCH($B397,Artikel!$B:$B,0))/$E397,0))))</f>
        <v/>
      </c>
    </row>
    <row r="398" spans="5:6" x14ac:dyDescent="0.3">
      <c r="E398" s="10" t="str">
        <f t="shared" si="6"/>
        <v/>
      </c>
      <c r="F398" s="10" t="str">
        <f>IF($A398="","",IF(ISNA(MATCH($B398,Artikel!$B:$B,0)),"ohne Artikel",IF(N($E398)=0,"",ROUNDDOWN(INDEX(Artikel!$K:$K,MATCH($B398,Artikel!$B:$B,0))/$E398,0))))</f>
        <v/>
      </c>
    </row>
    <row r="399" spans="5:6" x14ac:dyDescent="0.3">
      <c r="E399" s="10" t="str">
        <f t="shared" si="6"/>
        <v/>
      </c>
      <c r="F399" s="10" t="str">
        <f>IF($A399="","",IF(ISNA(MATCH($B399,Artikel!$B:$B,0)),"ohne Artikel",IF(N($E399)=0,"",ROUNDDOWN(INDEX(Artikel!$K:$K,MATCH($B399,Artikel!$B:$B,0))/$E399,0))))</f>
        <v/>
      </c>
    </row>
    <row r="400" spans="5:6" x14ac:dyDescent="0.3">
      <c r="E400" s="10" t="str">
        <f t="shared" si="6"/>
        <v/>
      </c>
      <c r="F400" s="10" t="str">
        <f>IF($A400="","",IF(ISNA(MATCH($B400,Artikel!$B:$B,0)),"ohne Artikel",IF(N($E400)=0,"",ROUNDDOWN(INDEX(Artikel!$K:$K,MATCH($B400,Artikel!$B:$B,0))/$E400,0))))</f>
        <v/>
      </c>
    </row>
  </sheetData>
  <dataValidations count="1">
    <dataValidation type="list" allowBlank="1" sqref="D2:D400" xr:uid="{00000000-0002-0000-0300-000001000000}">
      <formula1>"Stück,ml,cl,l,g,kg"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300-000000000000}">
          <x14:formula1>
            <xm:f>Artikel!$B$2:$B$400</xm:f>
          </x14:formula1>
          <xm:sqref>A2:A400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D28"/>
  <sheetViews>
    <sheetView showGridLines="0" workbookViewId="0">
      <selection activeCell="B2" sqref="B2"/>
    </sheetView>
  </sheetViews>
  <sheetFormatPr baseColWidth="10" defaultColWidth="8.88671875" defaultRowHeight="14.4" x14ac:dyDescent="0.3"/>
  <cols>
    <col min="1" max="1" width="32" customWidth="1"/>
    <col min="2" max="2" width="10" customWidth="1"/>
    <col min="3" max="4" width="14" customWidth="1"/>
  </cols>
  <sheetData>
    <row r="1" spans="1:4" ht="21" x14ac:dyDescent="0.4">
      <c r="A1" s="13" t="s">
        <v>65</v>
      </c>
    </row>
    <row r="2" spans="1:4" x14ac:dyDescent="0.3">
      <c r="A2" s="8" t="s">
        <v>66</v>
      </c>
      <c r="B2" s="14"/>
    </row>
    <row r="4" spans="1:4" ht="24" customHeight="1" x14ac:dyDescent="0.3">
      <c r="A4" s="15" t="s">
        <v>32</v>
      </c>
      <c r="B4" s="15" t="s">
        <v>59</v>
      </c>
      <c r="C4" s="15" t="s">
        <v>67</v>
      </c>
      <c r="D4" s="15" t="s">
        <v>68</v>
      </c>
    </row>
    <row r="5" spans="1:4" x14ac:dyDescent="0.3">
      <c r="A5" s="7"/>
      <c r="B5" s="7"/>
      <c r="C5" s="16" t="str">
        <f>IF($A5="","",IFERROR(INDEX(Artikel!$E:$E,MATCH($A5,Artikel!$B:$B,0)),""))</f>
        <v/>
      </c>
      <c r="D5" s="16" t="str">
        <f t="shared" ref="D5:D24" si="0">IF(OR($A5="",N($B5)=0),"",$B5*$C5)</f>
        <v/>
      </c>
    </row>
    <row r="6" spans="1:4" x14ac:dyDescent="0.3">
      <c r="A6" s="7"/>
      <c r="B6" s="7"/>
      <c r="C6" s="16" t="str">
        <f>IF($A6="","",IFERROR(INDEX(Artikel!$E:$E,MATCH($A6,Artikel!$B:$B,0)),""))</f>
        <v/>
      </c>
      <c r="D6" s="16" t="str">
        <f t="shared" si="0"/>
        <v/>
      </c>
    </row>
    <row r="7" spans="1:4" x14ac:dyDescent="0.3">
      <c r="A7" s="7"/>
      <c r="B7" s="7"/>
      <c r="C7" s="16" t="str">
        <f>IF($A7="","",IFERROR(INDEX(Artikel!$E:$E,MATCH($A7,Artikel!$B:$B,0)),""))</f>
        <v/>
      </c>
      <c r="D7" s="16" t="str">
        <f t="shared" si="0"/>
        <v/>
      </c>
    </row>
    <row r="8" spans="1:4" x14ac:dyDescent="0.3">
      <c r="A8" s="7"/>
      <c r="B8" s="7"/>
      <c r="C8" s="16" t="str">
        <f>IF($A8="","",IFERROR(INDEX(Artikel!$E:$E,MATCH($A8,Artikel!$B:$B,0)),""))</f>
        <v/>
      </c>
      <c r="D8" s="16" t="str">
        <f t="shared" si="0"/>
        <v/>
      </c>
    </row>
    <row r="9" spans="1:4" x14ac:dyDescent="0.3">
      <c r="A9" s="7"/>
      <c r="B9" s="7"/>
      <c r="C9" s="16" t="str">
        <f>IF($A9="","",IFERROR(INDEX(Artikel!$E:$E,MATCH($A9,Artikel!$B:$B,0)),""))</f>
        <v/>
      </c>
      <c r="D9" s="16" t="str">
        <f t="shared" si="0"/>
        <v/>
      </c>
    </row>
    <row r="10" spans="1:4" x14ac:dyDescent="0.3">
      <c r="A10" s="7"/>
      <c r="B10" s="7"/>
      <c r="C10" s="16" t="str">
        <f>IF($A10="","",IFERROR(INDEX(Artikel!$E:$E,MATCH($A10,Artikel!$B:$B,0)),""))</f>
        <v/>
      </c>
      <c r="D10" s="16" t="str">
        <f t="shared" si="0"/>
        <v/>
      </c>
    </row>
    <row r="11" spans="1:4" x14ac:dyDescent="0.3">
      <c r="A11" s="7"/>
      <c r="B11" s="7"/>
      <c r="C11" s="16" t="str">
        <f>IF($A11="","",IFERROR(INDEX(Artikel!$E:$E,MATCH($A11,Artikel!$B:$B,0)),""))</f>
        <v/>
      </c>
      <c r="D11" s="16" t="str">
        <f t="shared" si="0"/>
        <v/>
      </c>
    </row>
    <row r="12" spans="1:4" x14ac:dyDescent="0.3">
      <c r="A12" s="7"/>
      <c r="B12" s="7"/>
      <c r="C12" s="16" t="str">
        <f>IF($A12="","",IFERROR(INDEX(Artikel!$E:$E,MATCH($A12,Artikel!$B:$B,0)),""))</f>
        <v/>
      </c>
      <c r="D12" s="16" t="str">
        <f t="shared" si="0"/>
        <v/>
      </c>
    </row>
    <row r="13" spans="1:4" x14ac:dyDescent="0.3">
      <c r="A13" s="7"/>
      <c r="B13" s="7"/>
      <c r="C13" s="16" t="str">
        <f>IF($A13="","",IFERROR(INDEX(Artikel!$E:$E,MATCH($A13,Artikel!$B:$B,0)),""))</f>
        <v/>
      </c>
      <c r="D13" s="16" t="str">
        <f t="shared" si="0"/>
        <v/>
      </c>
    </row>
    <row r="14" spans="1:4" x14ac:dyDescent="0.3">
      <c r="A14" s="7"/>
      <c r="B14" s="7"/>
      <c r="C14" s="16" t="str">
        <f>IF($A14="","",IFERROR(INDEX(Artikel!$E:$E,MATCH($A14,Artikel!$B:$B,0)),""))</f>
        <v/>
      </c>
      <c r="D14" s="16" t="str">
        <f t="shared" si="0"/>
        <v/>
      </c>
    </row>
    <row r="15" spans="1:4" x14ac:dyDescent="0.3">
      <c r="A15" s="7"/>
      <c r="B15" s="7"/>
      <c r="C15" s="16" t="str">
        <f>IF($A15="","",IFERROR(INDEX(Artikel!$E:$E,MATCH($A15,Artikel!$B:$B,0)),""))</f>
        <v/>
      </c>
      <c r="D15" s="16" t="str">
        <f t="shared" si="0"/>
        <v/>
      </c>
    </row>
    <row r="16" spans="1:4" x14ac:dyDescent="0.3">
      <c r="A16" s="7"/>
      <c r="B16" s="7"/>
      <c r="C16" s="16" t="str">
        <f>IF($A16="","",IFERROR(INDEX(Artikel!$E:$E,MATCH($A16,Artikel!$B:$B,0)),""))</f>
        <v/>
      </c>
      <c r="D16" s="16" t="str">
        <f t="shared" si="0"/>
        <v/>
      </c>
    </row>
    <row r="17" spans="1:4" x14ac:dyDescent="0.3">
      <c r="A17" s="7"/>
      <c r="B17" s="7"/>
      <c r="C17" s="16" t="str">
        <f>IF($A17="","",IFERROR(INDEX(Artikel!$E:$E,MATCH($A17,Artikel!$B:$B,0)),""))</f>
        <v/>
      </c>
      <c r="D17" s="16" t="str">
        <f t="shared" si="0"/>
        <v/>
      </c>
    </row>
    <row r="18" spans="1:4" x14ac:dyDescent="0.3">
      <c r="A18" s="7"/>
      <c r="B18" s="7"/>
      <c r="C18" s="16" t="str">
        <f>IF($A18="","",IFERROR(INDEX(Artikel!$E:$E,MATCH($A18,Artikel!$B:$B,0)),""))</f>
        <v/>
      </c>
      <c r="D18" s="16" t="str">
        <f t="shared" si="0"/>
        <v/>
      </c>
    </row>
    <row r="19" spans="1:4" x14ac:dyDescent="0.3">
      <c r="A19" s="7"/>
      <c r="B19" s="7"/>
      <c r="C19" s="16" t="str">
        <f>IF($A19="","",IFERROR(INDEX(Artikel!$E:$E,MATCH($A19,Artikel!$B:$B,0)),""))</f>
        <v/>
      </c>
      <c r="D19" s="16" t="str">
        <f t="shared" si="0"/>
        <v/>
      </c>
    </row>
    <row r="20" spans="1:4" x14ac:dyDescent="0.3">
      <c r="A20" s="7"/>
      <c r="B20" s="7"/>
      <c r="C20" s="16" t="str">
        <f>IF($A20="","",IFERROR(INDEX(Artikel!$E:$E,MATCH($A20,Artikel!$B:$B,0)),""))</f>
        <v/>
      </c>
      <c r="D20" s="16" t="str">
        <f t="shared" si="0"/>
        <v/>
      </c>
    </row>
    <row r="21" spans="1:4" x14ac:dyDescent="0.3">
      <c r="A21" s="7"/>
      <c r="B21" s="7"/>
      <c r="C21" s="16" t="str">
        <f>IF($A21="","",IFERROR(INDEX(Artikel!$E:$E,MATCH($A21,Artikel!$B:$B,0)),""))</f>
        <v/>
      </c>
      <c r="D21" s="16" t="str">
        <f t="shared" si="0"/>
        <v/>
      </c>
    </row>
    <row r="22" spans="1:4" x14ac:dyDescent="0.3">
      <c r="A22" s="7"/>
      <c r="B22" s="7"/>
      <c r="C22" s="16" t="str">
        <f>IF($A22="","",IFERROR(INDEX(Artikel!$E:$E,MATCH($A22,Artikel!$B:$B,0)),""))</f>
        <v/>
      </c>
      <c r="D22" s="16" t="str">
        <f t="shared" si="0"/>
        <v/>
      </c>
    </row>
    <row r="23" spans="1:4" x14ac:dyDescent="0.3">
      <c r="A23" s="7"/>
      <c r="B23" s="7"/>
      <c r="C23" s="16" t="str">
        <f>IF($A23="","",IFERROR(INDEX(Artikel!$E:$E,MATCH($A23,Artikel!$B:$B,0)),""))</f>
        <v/>
      </c>
      <c r="D23" s="16" t="str">
        <f t="shared" si="0"/>
        <v/>
      </c>
    </row>
    <row r="24" spans="1:4" x14ac:dyDescent="0.3">
      <c r="A24" s="7"/>
      <c r="B24" s="7"/>
      <c r="C24" s="16" t="str">
        <f>IF($A24="","",IFERROR(INDEX(Artikel!$E:$E,MATCH($A24,Artikel!$B:$B,0)),""))</f>
        <v/>
      </c>
      <c r="D24" s="16" t="str">
        <f t="shared" si="0"/>
        <v/>
      </c>
    </row>
    <row r="26" spans="1:4" ht="17.399999999999999" x14ac:dyDescent="0.35">
      <c r="C26" s="17" t="s">
        <v>68</v>
      </c>
      <c r="D26" s="18">
        <f>SUM(D5:D24)</f>
        <v>0</v>
      </c>
    </row>
    <row r="28" spans="1:4" x14ac:dyDescent="0.3">
      <c r="A28" s="12" t="s">
        <v>69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VerkaufBuchen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8</xdr:col>
                    <xdr:colOff>76200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WarenkorbLeeren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8</xdr:col>
                    <xdr:colOff>76200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400-000000000000}">
          <x14:formula1>
            <xm:f>Artikel!$B$2:$B$400</xm:f>
          </x14:formula1>
          <xm:sqref>A5:A24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M2"/>
  <sheetViews>
    <sheetView workbookViewId="0">
      <pane ySplit="1" topLeftCell="A2" activePane="bottomLeft" state="frozen"/>
      <selection pane="bottomLeft"/>
    </sheetView>
  </sheetViews>
  <sheetFormatPr baseColWidth="10" defaultColWidth="8.88671875" defaultRowHeight="14.4" x14ac:dyDescent="0.3"/>
  <cols>
    <col min="1" max="1" width="12" customWidth="1"/>
    <col min="2" max="2" width="9" customWidth="1"/>
    <col min="3" max="3" width="8" customWidth="1"/>
    <col min="4" max="4" width="20" customWidth="1"/>
    <col min="5" max="5" width="16" customWidth="1"/>
    <col min="6" max="6" width="28" customWidth="1"/>
    <col min="7" max="7" width="9" customWidth="1"/>
    <col min="8" max="9" width="14" customWidth="1"/>
    <col min="10" max="11" width="13" customWidth="1"/>
  </cols>
  <sheetData>
    <row r="1" spans="1:13" ht="25.95" customHeight="1" x14ac:dyDescent="0.3">
      <c r="A1" s="6" t="s">
        <v>70</v>
      </c>
      <c r="B1" s="6" t="s">
        <v>71</v>
      </c>
      <c r="C1" s="6" t="s">
        <v>72</v>
      </c>
      <c r="D1" s="6" t="s">
        <v>66</v>
      </c>
      <c r="E1" s="6" t="s">
        <v>22</v>
      </c>
      <c r="F1" s="6" t="s">
        <v>32</v>
      </c>
      <c r="G1" s="6" t="s">
        <v>59</v>
      </c>
      <c r="H1" s="6" t="s">
        <v>73</v>
      </c>
      <c r="I1" s="6" t="s">
        <v>74</v>
      </c>
      <c r="J1" s="6" t="s">
        <v>75</v>
      </c>
      <c r="K1" s="6" t="s">
        <v>76</v>
      </c>
    </row>
    <row r="2" spans="1:13" x14ac:dyDescent="0.3">
      <c r="M2" s="12" t="s">
        <v>77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F1"/>
  <sheetViews>
    <sheetView workbookViewId="0">
      <pane ySplit="1" topLeftCell="A2" activePane="bottomLeft" state="frozen"/>
      <selection pane="bottomLeft" activeCell="D12" sqref="D12"/>
    </sheetView>
  </sheetViews>
  <sheetFormatPr baseColWidth="10" defaultColWidth="8.88671875" defaultRowHeight="14.4" x14ac:dyDescent="0.3"/>
  <cols>
    <col min="1" max="1" width="20" customWidth="1"/>
    <col min="2" max="2" width="30" customWidth="1"/>
    <col min="3" max="4" width="13" customWidth="1"/>
    <col min="5" max="5" width="30" customWidth="1"/>
    <col min="6" max="6" width="20" customWidth="1"/>
  </cols>
  <sheetData>
    <row r="1" spans="1:6" ht="25.95" customHeight="1" x14ac:dyDescent="0.3">
      <c r="A1" s="6" t="s">
        <v>78</v>
      </c>
      <c r="B1" s="6" t="s">
        <v>32</v>
      </c>
      <c r="C1" s="6" t="s">
        <v>79</v>
      </c>
      <c r="D1" s="6" t="s">
        <v>80</v>
      </c>
      <c r="E1" s="6" t="s">
        <v>81</v>
      </c>
      <c r="F1" s="6" t="s">
        <v>82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F2"/>
  <sheetViews>
    <sheetView tabSelected="1" workbookViewId="0">
      <pane ySplit="1" topLeftCell="A2" activePane="bottomLeft" state="frozen"/>
      <selection pane="bottomLeft"/>
    </sheetView>
  </sheetViews>
  <sheetFormatPr baseColWidth="10" defaultColWidth="8.88671875" defaultRowHeight="14.4" x14ac:dyDescent="0.3"/>
  <cols>
    <col min="1" max="1" width="18" customWidth="1"/>
    <col min="2" max="2" width="30" customWidth="1"/>
    <col min="3" max="3" width="10" customWidth="1"/>
    <col min="4" max="4" width="12" customWidth="1"/>
  </cols>
  <sheetData>
    <row r="1" spans="1:6" ht="25.95" customHeight="1" x14ac:dyDescent="0.3">
      <c r="A1" s="6" t="s">
        <v>22</v>
      </c>
      <c r="B1" s="6" t="s">
        <v>32</v>
      </c>
      <c r="C1" s="6" t="s">
        <v>59</v>
      </c>
      <c r="D1" s="6" t="s">
        <v>33</v>
      </c>
    </row>
    <row r="2" spans="1:6" x14ac:dyDescent="0.3">
      <c r="A2" t="s">
        <v>24</v>
      </c>
      <c r="B2" t="s">
        <v>50</v>
      </c>
      <c r="C2">
        <v>40</v>
      </c>
      <c r="D2" t="s">
        <v>46</v>
      </c>
      <c r="F2" s="12" t="s">
        <v>83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EinkaufslisteErzeugen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8</xdr:col>
                    <xdr:colOff>327660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G402"/>
  <sheetViews>
    <sheetView showGridLines="0" workbookViewId="0">
      <selection activeCell="G17" sqref="G17"/>
    </sheetView>
  </sheetViews>
  <sheetFormatPr baseColWidth="10" defaultColWidth="8.88671875" defaultRowHeight="14.4" x14ac:dyDescent="0.3"/>
  <cols>
    <col min="1" max="1" width="22" customWidth="1"/>
    <col min="2" max="2" width="16" customWidth="1"/>
    <col min="4" max="4" width="30" customWidth="1"/>
    <col min="5" max="7" width="14" customWidth="1"/>
  </cols>
  <sheetData>
    <row r="1" spans="1:7" ht="21" x14ac:dyDescent="0.4">
      <c r="A1" s="13" t="s">
        <v>84</v>
      </c>
    </row>
    <row r="3" spans="1:7" ht="17.399999999999999" x14ac:dyDescent="0.35">
      <c r="A3" s="2" t="s">
        <v>85</v>
      </c>
      <c r="B3" s="19">
        <f>SUM(Verkäufe!J:J)</f>
        <v>0</v>
      </c>
      <c r="D3" s="20" t="s">
        <v>32</v>
      </c>
      <c r="E3" s="20" t="s">
        <v>59</v>
      </c>
      <c r="F3" s="20" t="s">
        <v>75</v>
      </c>
      <c r="G3" s="20" t="s">
        <v>76</v>
      </c>
    </row>
    <row r="4" spans="1:7" ht="17.399999999999999" x14ac:dyDescent="0.35">
      <c r="A4" s="2" t="s">
        <v>86</v>
      </c>
      <c r="B4" s="19">
        <f>SUM(Verkäufe!K:K)</f>
        <v>0</v>
      </c>
      <c r="D4" t="str">
        <f>IF(Artikel!$B2="","",Artikel!$B2)</f>
        <v>Cola</v>
      </c>
      <c r="E4">
        <f>IF($D4="","",SUMIF(Verkäufe!$F:$F,$D4,Verkäufe!$G:$G))</f>
        <v>0</v>
      </c>
      <c r="F4" s="21">
        <f>IF($D4="","",SUMIF(Verkäufe!$F:$F,$D4,Verkäufe!$J:$J))</f>
        <v>0</v>
      </c>
      <c r="G4" s="21">
        <f>IF($D4="","",SUMIF(Verkäufe!$F:$F,$D4,Verkäufe!$K:$K))</f>
        <v>0</v>
      </c>
    </row>
    <row r="5" spans="1:7" ht="17.399999999999999" x14ac:dyDescent="0.35">
      <c r="A5" s="2" t="s">
        <v>87</v>
      </c>
      <c r="B5" s="22">
        <f>SUM(Verkäufe!G:G)</f>
        <v>0</v>
      </c>
      <c r="D5" t="str">
        <f>IF(Artikel!$B3="","",Artikel!$B3)</f>
        <v>Spezi</v>
      </c>
      <c r="E5">
        <f>IF($D5="","",SUMIF(Verkäufe!$F:$F,$D5,Verkäufe!$G:$G))</f>
        <v>0</v>
      </c>
      <c r="F5" s="21">
        <f>IF($D5="","",SUMIF(Verkäufe!$F:$F,$D5,Verkäufe!$J:$J))</f>
        <v>0</v>
      </c>
      <c r="G5" s="21">
        <f>IF($D5="","",SUMIF(Verkäufe!$F:$F,$D5,Verkäufe!$K:$K))</f>
        <v>0</v>
      </c>
    </row>
    <row r="6" spans="1:7" ht="17.399999999999999" x14ac:dyDescent="0.35">
      <c r="A6" s="2" t="s">
        <v>88</v>
      </c>
      <c r="B6" s="22">
        <f>COUNTA(Verkäufe!F:F)-1</f>
        <v>0</v>
      </c>
      <c r="D6" t="str">
        <f>IF(Artikel!$B4="","",Artikel!$B4)</f>
        <v>Fanta</v>
      </c>
      <c r="E6">
        <f>IF($D6="","",SUMIF(Verkäufe!$F:$F,$D6,Verkäufe!$G:$G))</f>
        <v>0</v>
      </c>
      <c r="F6" s="21">
        <f>IF($D6="","",SUMIF(Verkäufe!$F:$F,$D6,Verkäufe!$J:$J))</f>
        <v>0</v>
      </c>
      <c r="G6" s="21">
        <f>IF($D6="","",SUMIF(Verkäufe!$F:$F,$D6,Verkäufe!$K:$K))</f>
        <v>0</v>
      </c>
    </row>
    <row r="7" spans="1:7" x14ac:dyDescent="0.3">
      <c r="D7" t="str">
        <f>IF(Artikel!$B5="","",Artikel!$B5)</f>
        <v>Gold Ochsen</v>
      </c>
      <c r="E7">
        <f>IF($D7="","",SUMIF(Verkäufe!$F:$F,$D7,Verkäufe!$G:$G))</f>
        <v>0</v>
      </c>
      <c r="F7" s="21">
        <f>IF($D7="","",SUMIF(Verkäufe!$F:$F,$D7,Verkäufe!$J:$J))</f>
        <v>0</v>
      </c>
      <c r="G7" s="21">
        <f>IF($D7="","",SUMIF(Verkäufe!$F:$F,$D7,Verkäufe!$K:$K))</f>
        <v>0</v>
      </c>
    </row>
    <row r="8" spans="1:7" x14ac:dyDescent="0.3">
      <c r="D8" t="str">
        <f>IF(Artikel!$B6="","",Artikel!$B6)</f>
        <v>Flasche Jack Daniels</v>
      </c>
      <c r="E8">
        <f>IF($D8="","",SUMIF(Verkäufe!$F:$F,$D8,Verkäufe!$G:$G))</f>
        <v>0</v>
      </c>
      <c r="F8" s="21">
        <f>IF($D8="","",SUMIF(Verkäufe!$F:$F,$D8,Verkäufe!$J:$J))</f>
        <v>0</v>
      </c>
      <c r="G8" s="21">
        <f>IF($D8="","",SUMIF(Verkäufe!$F:$F,$D8,Verkäufe!$K:$K))</f>
        <v>0</v>
      </c>
    </row>
    <row r="9" spans="1:7" x14ac:dyDescent="0.3">
      <c r="D9" t="str">
        <f>IF(Artikel!$B7="","",Artikel!$B7)</f>
        <v>Jack Daniels</v>
      </c>
      <c r="E9">
        <f>IF($D9="","",SUMIF(Verkäufe!$F:$F,$D9,Verkäufe!$G:$G))</f>
        <v>0</v>
      </c>
      <c r="F9" s="21">
        <f>IF($D9="","",SUMIF(Verkäufe!$F:$F,$D9,Verkäufe!$J:$J))</f>
        <v>0</v>
      </c>
      <c r="G9" s="21">
        <f>IF($D9="","",SUMIF(Verkäufe!$F:$F,$D9,Verkäufe!$K:$K))</f>
        <v>0</v>
      </c>
    </row>
    <row r="10" spans="1:7" x14ac:dyDescent="0.3">
      <c r="D10" t="str">
        <f>IF(Artikel!$B8="","",Artikel!$B8)</f>
        <v>Jacky Cola</v>
      </c>
      <c r="E10">
        <f>IF($D10="","",SUMIF(Verkäufe!$F:$F,$D10,Verkäufe!$G:$G))</f>
        <v>0</v>
      </c>
      <c r="F10" s="21">
        <f>IF($D10="","",SUMIF(Verkäufe!$F:$F,$D10,Verkäufe!$J:$J))</f>
        <v>0</v>
      </c>
      <c r="G10" s="21">
        <f>IF($D10="","",SUMIF(Verkäufe!$F:$F,$D10,Verkäufe!$K:$K))</f>
        <v>0</v>
      </c>
    </row>
    <row r="11" spans="1:7" x14ac:dyDescent="0.3">
      <c r="D11" t="str">
        <f>IF(Artikel!$B9="","",Artikel!$B9)</f>
        <v/>
      </c>
      <c r="E11" t="str">
        <f>IF($D11="","",SUMIF(Verkäufe!$F:$F,$D11,Verkäufe!$G:$G))</f>
        <v/>
      </c>
      <c r="F11" s="21" t="str">
        <f>IF($D11="","",SUMIF(Verkäufe!$F:$F,$D11,Verkäufe!$J:$J))</f>
        <v/>
      </c>
      <c r="G11" s="21" t="str">
        <f>IF($D11="","",SUMIF(Verkäufe!$F:$F,$D11,Verkäufe!$K:$K))</f>
        <v/>
      </c>
    </row>
    <row r="12" spans="1:7" x14ac:dyDescent="0.3">
      <c r="D12" t="str">
        <f>IF(Artikel!$B10="","",Artikel!$B10)</f>
        <v/>
      </c>
      <c r="E12" t="str">
        <f>IF($D12="","",SUMIF(Verkäufe!$F:$F,$D12,Verkäufe!$G:$G))</f>
        <v/>
      </c>
      <c r="F12" s="21" t="str">
        <f>IF($D12="","",SUMIF(Verkäufe!$F:$F,$D12,Verkäufe!$J:$J))</f>
        <v/>
      </c>
      <c r="G12" s="21" t="str">
        <f>IF($D12="","",SUMIF(Verkäufe!$F:$F,$D12,Verkäufe!$K:$K))</f>
        <v/>
      </c>
    </row>
    <row r="13" spans="1:7" x14ac:dyDescent="0.3">
      <c r="D13" t="str">
        <f>IF(Artikel!$B11="","",Artikel!$B11)</f>
        <v/>
      </c>
      <c r="E13" t="str">
        <f>IF($D13="","",SUMIF(Verkäufe!$F:$F,$D13,Verkäufe!$G:$G))</f>
        <v/>
      </c>
      <c r="F13" s="21" t="str">
        <f>IF($D13="","",SUMIF(Verkäufe!$F:$F,$D13,Verkäufe!$J:$J))</f>
        <v/>
      </c>
      <c r="G13" s="21" t="str">
        <f>IF($D13="","",SUMIF(Verkäufe!$F:$F,$D13,Verkäufe!$K:$K))</f>
        <v/>
      </c>
    </row>
    <row r="14" spans="1:7" x14ac:dyDescent="0.3">
      <c r="D14" t="str">
        <f>IF(Artikel!$B12="","",Artikel!$B12)</f>
        <v/>
      </c>
      <c r="E14" t="str">
        <f>IF($D14="","",SUMIF(Verkäufe!$F:$F,$D14,Verkäufe!$G:$G))</f>
        <v/>
      </c>
      <c r="F14" s="21" t="str">
        <f>IF($D14="","",SUMIF(Verkäufe!$F:$F,$D14,Verkäufe!$J:$J))</f>
        <v/>
      </c>
      <c r="G14" s="21" t="str">
        <f>IF($D14="","",SUMIF(Verkäufe!$F:$F,$D14,Verkäufe!$K:$K))</f>
        <v/>
      </c>
    </row>
    <row r="15" spans="1:7" x14ac:dyDescent="0.3">
      <c r="D15" t="str">
        <f>IF(Artikel!$B13="","",Artikel!$B13)</f>
        <v/>
      </c>
      <c r="E15" t="str">
        <f>IF($D15="","",SUMIF(Verkäufe!$F:$F,$D15,Verkäufe!$G:$G))</f>
        <v/>
      </c>
      <c r="F15" s="21" t="str">
        <f>IF($D15="","",SUMIF(Verkäufe!$F:$F,$D15,Verkäufe!$J:$J))</f>
        <v/>
      </c>
      <c r="G15" s="21" t="str">
        <f>IF($D15="","",SUMIF(Verkäufe!$F:$F,$D15,Verkäufe!$K:$K))</f>
        <v/>
      </c>
    </row>
    <row r="16" spans="1:7" x14ac:dyDescent="0.3">
      <c r="D16" t="str">
        <f>IF(Artikel!$B14="","",Artikel!$B14)</f>
        <v/>
      </c>
      <c r="E16" t="str">
        <f>IF($D16="","",SUMIF(Verkäufe!$F:$F,$D16,Verkäufe!$G:$G))</f>
        <v/>
      </c>
      <c r="F16" s="21" t="str">
        <f>IF($D16="","",SUMIF(Verkäufe!$F:$F,$D16,Verkäufe!$J:$J))</f>
        <v/>
      </c>
      <c r="G16" s="21" t="str">
        <f>IF($D16="","",SUMIF(Verkäufe!$F:$F,$D16,Verkäufe!$K:$K))</f>
        <v/>
      </c>
    </row>
    <row r="17" spans="4:7" x14ac:dyDescent="0.3">
      <c r="D17" t="str">
        <f>IF(Artikel!$B15="","",Artikel!$B15)</f>
        <v/>
      </c>
      <c r="E17" t="str">
        <f>IF($D17="","",SUMIF(Verkäufe!$F:$F,$D17,Verkäufe!$G:$G))</f>
        <v/>
      </c>
      <c r="F17" s="21" t="str">
        <f>IF($D17="","",SUMIF(Verkäufe!$F:$F,$D17,Verkäufe!$J:$J))</f>
        <v/>
      </c>
      <c r="G17" s="21" t="str">
        <f>IF($D17="","",SUMIF(Verkäufe!$F:$F,$D17,Verkäufe!$K:$K))</f>
        <v/>
      </c>
    </row>
    <row r="18" spans="4:7" x14ac:dyDescent="0.3">
      <c r="D18" t="str">
        <f>IF(Artikel!$B16="","",Artikel!$B16)</f>
        <v/>
      </c>
      <c r="E18" t="str">
        <f>IF($D18="","",SUMIF(Verkäufe!$F:$F,$D18,Verkäufe!$G:$G))</f>
        <v/>
      </c>
      <c r="F18" s="21" t="str">
        <f>IF($D18="","",SUMIF(Verkäufe!$F:$F,$D18,Verkäufe!$J:$J))</f>
        <v/>
      </c>
      <c r="G18" s="21" t="str">
        <f>IF($D18="","",SUMIF(Verkäufe!$F:$F,$D18,Verkäufe!$K:$K))</f>
        <v/>
      </c>
    </row>
    <row r="19" spans="4:7" x14ac:dyDescent="0.3">
      <c r="D19" t="str">
        <f>IF(Artikel!$B17="","",Artikel!$B17)</f>
        <v/>
      </c>
      <c r="E19" t="str">
        <f>IF($D19="","",SUMIF(Verkäufe!$F:$F,$D19,Verkäufe!$G:$G))</f>
        <v/>
      </c>
      <c r="F19" s="21" t="str">
        <f>IF($D19="","",SUMIF(Verkäufe!$F:$F,$D19,Verkäufe!$J:$J))</f>
        <v/>
      </c>
      <c r="G19" s="21" t="str">
        <f>IF($D19="","",SUMIF(Verkäufe!$F:$F,$D19,Verkäufe!$K:$K))</f>
        <v/>
      </c>
    </row>
    <row r="20" spans="4:7" x14ac:dyDescent="0.3">
      <c r="D20" t="str">
        <f>IF(Artikel!$B18="","",Artikel!$B18)</f>
        <v/>
      </c>
      <c r="E20" t="str">
        <f>IF($D20="","",SUMIF(Verkäufe!$F:$F,$D20,Verkäufe!$G:$G))</f>
        <v/>
      </c>
      <c r="F20" s="21" t="str">
        <f>IF($D20="","",SUMIF(Verkäufe!$F:$F,$D20,Verkäufe!$J:$J))</f>
        <v/>
      </c>
      <c r="G20" s="21" t="str">
        <f>IF($D20="","",SUMIF(Verkäufe!$F:$F,$D20,Verkäufe!$K:$K))</f>
        <v/>
      </c>
    </row>
    <row r="21" spans="4:7" x14ac:dyDescent="0.3">
      <c r="D21" t="str">
        <f>IF(Artikel!$B19="","",Artikel!$B19)</f>
        <v/>
      </c>
      <c r="E21" t="str">
        <f>IF($D21="","",SUMIF(Verkäufe!$F:$F,$D21,Verkäufe!$G:$G))</f>
        <v/>
      </c>
      <c r="F21" s="21" t="str">
        <f>IF($D21="","",SUMIF(Verkäufe!$F:$F,$D21,Verkäufe!$J:$J))</f>
        <v/>
      </c>
      <c r="G21" s="21" t="str">
        <f>IF($D21="","",SUMIF(Verkäufe!$F:$F,$D21,Verkäufe!$K:$K))</f>
        <v/>
      </c>
    </row>
    <row r="22" spans="4:7" x14ac:dyDescent="0.3">
      <c r="D22" t="str">
        <f>IF(Artikel!$B20="","",Artikel!$B20)</f>
        <v/>
      </c>
      <c r="E22" t="str">
        <f>IF($D22="","",SUMIF(Verkäufe!$F:$F,$D22,Verkäufe!$G:$G))</f>
        <v/>
      </c>
      <c r="F22" s="21" t="str">
        <f>IF($D22="","",SUMIF(Verkäufe!$F:$F,$D22,Verkäufe!$J:$J))</f>
        <v/>
      </c>
      <c r="G22" s="21" t="str">
        <f>IF($D22="","",SUMIF(Verkäufe!$F:$F,$D22,Verkäufe!$K:$K))</f>
        <v/>
      </c>
    </row>
    <row r="23" spans="4:7" x14ac:dyDescent="0.3">
      <c r="D23" t="str">
        <f>IF(Artikel!$B21="","",Artikel!$B21)</f>
        <v/>
      </c>
      <c r="E23" t="str">
        <f>IF($D23="","",SUMIF(Verkäufe!$F:$F,$D23,Verkäufe!$G:$G))</f>
        <v/>
      </c>
      <c r="F23" s="21" t="str">
        <f>IF($D23="","",SUMIF(Verkäufe!$F:$F,$D23,Verkäufe!$J:$J))</f>
        <v/>
      </c>
      <c r="G23" s="21" t="str">
        <f>IF($D23="","",SUMIF(Verkäufe!$F:$F,$D23,Verkäufe!$K:$K))</f>
        <v/>
      </c>
    </row>
    <row r="24" spans="4:7" x14ac:dyDescent="0.3">
      <c r="D24" t="str">
        <f>IF(Artikel!$B22="","",Artikel!$B22)</f>
        <v/>
      </c>
      <c r="E24" t="str">
        <f>IF($D24="","",SUMIF(Verkäufe!$F:$F,$D24,Verkäufe!$G:$G))</f>
        <v/>
      </c>
      <c r="F24" s="21" t="str">
        <f>IF($D24="","",SUMIF(Verkäufe!$F:$F,$D24,Verkäufe!$J:$J))</f>
        <v/>
      </c>
      <c r="G24" s="21" t="str">
        <f>IF($D24="","",SUMIF(Verkäufe!$F:$F,$D24,Verkäufe!$K:$K))</f>
        <v/>
      </c>
    </row>
    <row r="25" spans="4:7" x14ac:dyDescent="0.3">
      <c r="D25" t="str">
        <f>IF(Artikel!$B23="","",Artikel!$B23)</f>
        <v/>
      </c>
      <c r="E25" t="str">
        <f>IF($D25="","",SUMIF(Verkäufe!$F:$F,$D25,Verkäufe!$G:$G))</f>
        <v/>
      </c>
      <c r="F25" s="21" t="str">
        <f>IF($D25="","",SUMIF(Verkäufe!$F:$F,$D25,Verkäufe!$J:$J))</f>
        <v/>
      </c>
      <c r="G25" s="21" t="str">
        <f>IF($D25="","",SUMIF(Verkäufe!$F:$F,$D25,Verkäufe!$K:$K))</f>
        <v/>
      </c>
    </row>
    <row r="26" spans="4:7" x14ac:dyDescent="0.3">
      <c r="D26" t="str">
        <f>IF(Artikel!$B24="","",Artikel!$B24)</f>
        <v/>
      </c>
      <c r="E26" t="str">
        <f>IF($D26="","",SUMIF(Verkäufe!$F:$F,$D26,Verkäufe!$G:$G))</f>
        <v/>
      </c>
      <c r="F26" s="21" t="str">
        <f>IF($D26="","",SUMIF(Verkäufe!$F:$F,$D26,Verkäufe!$J:$J))</f>
        <v/>
      </c>
      <c r="G26" s="21" t="str">
        <f>IF($D26="","",SUMIF(Verkäufe!$F:$F,$D26,Verkäufe!$K:$K))</f>
        <v/>
      </c>
    </row>
    <row r="27" spans="4:7" x14ac:dyDescent="0.3">
      <c r="D27" t="str">
        <f>IF(Artikel!$B25="","",Artikel!$B25)</f>
        <v/>
      </c>
      <c r="E27" t="str">
        <f>IF($D27="","",SUMIF(Verkäufe!$F:$F,$D27,Verkäufe!$G:$G))</f>
        <v/>
      </c>
      <c r="F27" s="21" t="str">
        <f>IF($D27="","",SUMIF(Verkäufe!$F:$F,$D27,Verkäufe!$J:$J))</f>
        <v/>
      </c>
      <c r="G27" s="21" t="str">
        <f>IF($D27="","",SUMIF(Verkäufe!$F:$F,$D27,Verkäufe!$K:$K))</f>
        <v/>
      </c>
    </row>
    <row r="28" spans="4:7" x14ac:dyDescent="0.3">
      <c r="D28" t="str">
        <f>IF(Artikel!$B26="","",Artikel!$B26)</f>
        <v/>
      </c>
      <c r="E28" t="str">
        <f>IF($D28="","",SUMIF(Verkäufe!$F:$F,$D28,Verkäufe!$G:$G))</f>
        <v/>
      </c>
      <c r="F28" s="21" t="str">
        <f>IF($D28="","",SUMIF(Verkäufe!$F:$F,$D28,Verkäufe!$J:$J))</f>
        <v/>
      </c>
      <c r="G28" s="21" t="str">
        <f>IF($D28="","",SUMIF(Verkäufe!$F:$F,$D28,Verkäufe!$K:$K))</f>
        <v/>
      </c>
    </row>
    <row r="29" spans="4:7" x14ac:dyDescent="0.3">
      <c r="D29" t="str">
        <f>IF(Artikel!$B27="","",Artikel!$B27)</f>
        <v/>
      </c>
      <c r="E29" t="str">
        <f>IF($D29="","",SUMIF(Verkäufe!$F:$F,$D29,Verkäufe!$G:$G))</f>
        <v/>
      </c>
      <c r="F29" s="21" t="str">
        <f>IF($D29="","",SUMIF(Verkäufe!$F:$F,$D29,Verkäufe!$J:$J))</f>
        <v/>
      </c>
      <c r="G29" s="21" t="str">
        <f>IF($D29="","",SUMIF(Verkäufe!$F:$F,$D29,Verkäufe!$K:$K))</f>
        <v/>
      </c>
    </row>
    <row r="30" spans="4:7" x14ac:dyDescent="0.3">
      <c r="D30" t="str">
        <f>IF(Artikel!$B28="","",Artikel!$B28)</f>
        <v/>
      </c>
      <c r="E30" t="str">
        <f>IF($D30="","",SUMIF(Verkäufe!$F:$F,$D30,Verkäufe!$G:$G))</f>
        <v/>
      </c>
      <c r="F30" s="21" t="str">
        <f>IF($D30="","",SUMIF(Verkäufe!$F:$F,$D30,Verkäufe!$J:$J))</f>
        <v/>
      </c>
      <c r="G30" s="21" t="str">
        <f>IF($D30="","",SUMIF(Verkäufe!$F:$F,$D30,Verkäufe!$K:$K))</f>
        <v/>
      </c>
    </row>
    <row r="31" spans="4:7" x14ac:dyDescent="0.3">
      <c r="D31" t="str">
        <f>IF(Artikel!$B29="","",Artikel!$B29)</f>
        <v/>
      </c>
      <c r="E31" t="str">
        <f>IF($D31="","",SUMIF(Verkäufe!$F:$F,$D31,Verkäufe!$G:$G))</f>
        <v/>
      </c>
      <c r="F31" s="21" t="str">
        <f>IF($D31="","",SUMIF(Verkäufe!$F:$F,$D31,Verkäufe!$J:$J))</f>
        <v/>
      </c>
      <c r="G31" s="21" t="str">
        <f>IF($D31="","",SUMIF(Verkäufe!$F:$F,$D31,Verkäufe!$K:$K))</f>
        <v/>
      </c>
    </row>
    <row r="32" spans="4:7" x14ac:dyDescent="0.3">
      <c r="D32" t="str">
        <f>IF(Artikel!$B30="","",Artikel!$B30)</f>
        <v/>
      </c>
      <c r="E32" t="str">
        <f>IF($D32="","",SUMIF(Verkäufe!$F:$F,$D32,Verkäufe!$G:$G))</f>
        <v/>
      </c>
      <c r="F32" s="21" t="str">
        <f>IF($D32="","",SUMIF(Verkäufe!$F:$F,$D32,Verkäufe!$J:$J))</f>
        <v/>
      </c>
      <c r="G32" s="21" t="str">
        <f>IF($D32="","",SUMIF(Verkäufe!$F:$F,$D32,Verkäufe!$K:$K))</f>
        <v/>
      </c>
    </row>
    <row r="33" spans="4:7" x14ac:dyDescent="0.3">
      <c r="D33" t="str">
        <f>IF(Artikel!$B31="","",Artikel!$B31)</f>
        <v/>
      </c>
      <c r="E33" t="str">
        <f>IF($D33="","",SUMIF(Verkäufe!$F:$F,$D33,Verkäufe!$G:$G))</f>
        <v/>
      </c>
      <c r="F33" s="21" t="str">
        <f>IF($D33="","",SUMIF(Verkäufe!$F:$F,$D33,Verkäufe!$J:$J))</f>
        <v/>
      </c>
      <c r="G33" s="21" t="str">
        <f>IF($D33="","",SUMIF(Verkäufe!$F:$F,$D33,Verkäufe!$K:$K))</f>
        <v/>
      </c>
    </row>
    <row r="34" spans="4:7" x14ac:dyDescent="0.3">
      <c r="D34" t="str">
        <f>IF(Artikel!$B32="","",Artikel!$B32)</f>
        <v/>
      </c>
      <c r="E34" t="str">
        <f>IF($D34="","",SUMIF(Verkäufe!$F:$F,$D34,Verkäufe!$G:$G))</f>
        <v/>
      </c>
      <c r="F34" s="21" t="str">
        <f>IF($D34="","",SUMIF(Verkäufe!$F:$F,$D34,Verkäufe!$J:$J))</f>
        <v/>
      </c>
      <c r="G34" s="21" t="str">
        <f>IF($D34="","",SUMIF(Verkäufe!$F:$F,$D34,Verkäufe!$K:$K))</f>
        <v/>
      </c>
    </row>
    <row r="35" spans="4:7" x14ac:dyDescent="0.3">
      <c r="D35" t="str">
        <f>IF(Artikel!$B33="","",Artikel!$B33)</f>
        <v/>
      </c>
      <c r="E35" t="str">
        <f>IF($D35="","",SUMIF(Verkäufe!$F:$F,$D35,Verkäufe!$G:$G))</f>
        <v/>
      </c>
      <c r="F35" s="21" t="str">
        <f>IF($D35="","",SUMIF(Verkäufe!$F:$F,$D35,Verkäufe!$J:$J))</f>
        <v/>
      </c>
      <c r="G35" s="21" t="str">
        <f>IF($D35="","",SUMIF(Verkäufe!$F:$F,$D35,Verkäufe!$K:$K))</f>
        <v/>
      </c>
    </row>
    <row r="36" spans="4:7" x14ac:dyDescent="0.3">
      <c r="D36" t="str">
        <f>IF(Artikel!$B34="","",Artikel!$B34)</f>
        <v/>
      </c>
      <c r="E36" t="str">
        <f>IF($D36="","",SUMIF(Verkäufe!$F:$F,$D36,Verkäufe!$G:$G))</f>
        <v/>
      </c>
      <c r="F36" s="21" t="str">
        <f>IF($D36="","",SUMIF(Verkäufe!$F:$F,$D36,Verkäufe!$J:$J))</f>
        <v/>
      </c>
      <c r="G36" s="21" t="str">
        <f>IF($D36="","",SUMIF(Verkäufe!$F:$F,$D36,Verkäufe!$K:$K))</f>
        <v/>
      </c>
    </row>
    <row r="37" spans="4:7" x14ac:dyDescent="0.3">
      <c r="D37" t="str">
        <f>IF(Artikel!$B35="","",Artikel!$B35)</f>
        <v/>
      </c>
      <c r="E37" t="str">
        <f>IF($D37="","",SUMIF(Verkäufe!$F:$F,$D37,Verkäufe!$G:$G))</f>
        <v/>
      </c>
      <c r="F37" s="21" t="str">
        <f>IF($D37="","",SUMIF(Verkäufe!$F:$F,$D37,Verkäufe!$J:$J))</f>
        <v/>
      </c>
      <c r="G37" s="21" t="str">
        <f>IF($D37="","",SUMIF(Verkäufe!$F:$F,$D37,Verkäufe!$K:$K))</f>
        <v/>
      </c>
    </row>
    <row r="38" spans="4:7" x14ac:dyDescent="0.3">
      <c r="D38" t="str">
        <f>IF(Artikel!$B36="","",Artikel!$B36)</f>
        <v/>
      </c>
      <c r="E38" t="str">
        <f>IF($D38="","",SUMIF(Verkäufe!$F:$F,$D38,Verkäufe!$G:$G))</f>
        <v/>
      </c>
      <c r="F38" s="21" t="str">
        <f>IF($D38="","",SUMIF(Verkäufe!$F:$F,$D38,Verkäufe!$J:$J))</f>
        <v/>
      </c>
      <c r="G38" s="21" t="str">
        <f>IF($D38="","",SUMIF(Verkäufe!$F:$F,$D38,Verkäufe!$K:$K))</f>
        <v/>
      </c>
    </row>
    <row r="39" spans="4:7" x14ac:dyDescent="0.3">
      <c r="D39" t="str">
        <f>IF(Artikel!$B37="","",Artikel!$B37)</f>
        <v/>
      </c>
      <c r="E39" t="str">
        <f>IF($D39="","",SUMIF(Verkäufe!$F:$F,$D39,Verkäufe!$G:$G))</f>
        <v/>
      </c>
      <c r="F39" s="21" t="str">
        <f>IF($D39="","",SUMIF(Verkäufe!$F:$F,$D39,Verkäufe!$J:$J))</f>
        <v/>
      </c>
      <c r="G39" s="21" t="str">
        <f>IF($D39="","",SUMIF(Verkäufe!$F:$F,$D39,Verkäufe!$K:$K))</f>
        <v/>
      </c>
    </row>
    <row r="40" spans="4:7" x14ac:dyDescent="0.3">
      <c r="D40" t="str">
        <f>IF(Artikel!$B38="","",Artikel!$B38)</f>
        <v/>
      </c>
      <c r="E40" t="str">
        <f>IF($D40="","",SUMIF(Verkäufe!$F:$F,$D40,Verkäufe!$G:$G))</f>
        <v/>
      </c>
      <c r="F40" s="21" t="str">
        <f>IF($D40="","",SUMIF(Verkäufe!$F:$F,$D40,Verkäufe!$J:$J))</f>
        <v/>
      </c>
      <c r="G40" s="21" t="str">
        <f>IF($D40="","",SUMIF(Verkäufe!$F:$F,$D40,Verkäufe!$K:$K))</f>
        <v/>
      </c>
    </row>
    <row r="41" spans="4:7" x14ac:dyDescent="0.3">
      <c r="D41" t="str">
        <f>IF(Artikel!$B39="","",Artikel!$B39)</f>
        <v/>
      </c>
      <c r="E41" t="str">
        <f>IF($D41="","",SUMIF(Verkäufe!$F:$F,$D41,Verkäufe!$G:$G))</f>
        <v/>
      </c>
      <c r="F41" s="21" t="str">
        <f>IF($D41="","",SUMIF(Verkäufe!$F:$F,$D41,Verkäufe!$J:$J))</f>
        <v/>
      </c>
      <c r="G41" s="21" t="str">
        <f>IF($D41="","",SUMIF(Verkäufe!$F:$F,$D41,Verkäufe!$K:$K))</f>
        <v/>
      </c>
    </row>
    <row r="42" spans="4:7" x14ac:dyDescent="0.3">
      <c r="D42" t="str">
        <f>IF(Artikel!$B40="","",Artikel!$B40)</f>
        <v/>
      </c>
      <c r="E42" t="str">
        <f>IF($D42="","",SUMIF(Verkäufe!$F:$F,$D42,Verkäufe!$G:$G))</f>
        <v/>
      </c>
      <c r="F42" s="21" t="str">
        <f>IF($D42="","",SUMIF(Verkäufe!$F:$F,$D42,Verkäufe!$J:$J))</f>
        <v/>
      </c>
      <c r="G42" s="21" t="str">
        <f>IF($D42="","",SUMIF(Verkäufe!$F:$F,$D42,Verkäufe!$K:$K))</f>
        <v/>
      </c>
    </row>
    <row r="43" spans="4:7" x14ac:dyDescent="0.3">
      <c r="D43" t="str">
        <f>IF(Artikel!$B41="","",Artikel!$B41)</f>
        <v/>
      </c>
      <c r="E43" t="str">
        <f>IF($D43="","",SUMIF(Verkäufe!$F:$F,$D43,Verkäufe!$G:$G))</f>
        <v/>
      </c>
      <c r="F43" s="21" t="str">
        <f>IF($D43="","",SUMIF(Verkäufe!$F:$F,$D43,Verkäufe!$J:$J))</f>
        <v/>
      </c>
      <c r="G43" s="21" t="str">
        <f>IF($D43="","",SUMIF(Verkäufe!$F:$F,$D43,Verkäufe!$K:$K))</f>
        <v/>
      </c>
    </row>
    <row r="44" spans="4:7" x14ac:dyDescent="0.3">
      <c r="D44" t="str">
        <f>IF(Artikel!$B42="","",Artikel!$B42)</f>
        <v/>
      </c>
      <c r="E44" t="str">
        <f>IF($D44="","",SUMIF(Verkäufe!$F:$F,$D44,Verkäufe!$G:$G))</f>
        <v/>
      </c>
      <c r="F44" s="21" t="str">
        <f>IF($D44="","",SUMIF(Verkäufe!$F:$F,$D44,Verkäufe!$J:$J))</f>
        <v/>
      </c>
      <c r="G44" s="21" t="str">
        <f>IF($D44="","",SUMIF(Verkäufe!$F:$F,$D44,Verkäufe!$K:$K))</f>
        <v/>
      </c>
    </row>
    <row r="45" spans="4:7" x14ac:dyDescent="0.3">
      <c r="D45" t="str">
        <f>IF(Artikel!$B43="","",Artikel!$B43)</f>
        <v/>
      </c>
      <c r="E45" t="str">
        <f>IF($D45="","",SUMIF(Verkäufe!$F:$F,$D45,Verkäufe!$G:$G))</f>
        <v/>
      </c>
      <c r="F45" s="21" t="str">
        <f>IF($D45="","",SUMIF(Verkäufe!$F:$F,$D45,Verkäufe!$J:$J))</f>
        <v/>
      </c>
      <c r="G45" s="21" t="str">
        <f>IF($D45="","",SUMIF(Verkäufe!$F:$F,$D45,Verkäufe!$K:$K))</f>
        <v/>
      </c>
    </row>
    <row r="46" spans="4:7" x14ac:dyDescent="0.3">
      <c r="D46" t="str">
        <f>IF(Artikel!$B44="","",Artikel!$B44)</f>
        <v/>
      </c>
      <c r="E46" t="str">
        <f>IF($D46="","",SUMIF(Verkäufe!$F:$F,$D46,Verkäufe!$G:$G))</f>
        <v/>
      </c>
      <c r="F46" s="21" t="str">
        <f>IF($D46="","",SUMIF(Verkäufe!$F:$F,$D46,Verkäufe!$J:$J))</f>
        <v/>
      </c>
      <c r="G46" s="21" t="str">
        <f>IF($D46="","",SUMIF(Verkäufe!$F:$F,$D46,Verkäufe!$K:$K))</f>
        <v/>
      </c>
    </row>
    <row r="47" spans="4:7" x14ac:dyDescent="0.3">
      <c r="D47" t="str">
        <f>IF(Artikel!$B45="","",Artikel!$B45)</f>
        <v/>
      </c>
      <c r="E47" t="str">
        <f>IF($D47="","",SUMIF(Verkäufe!$F:$F,$D47,Verkäufe!$G:$G))</f>
        <v/>
      </c>
      <c r="F47" s="21" t="str">
        <f>IF($D47="","",SUMIF(Verkäufe!$F:$F,$D47,Verkäufe!$J:$J))</f>
        <v/>
      </c>
      <c r="G47" s="21" t="str">
        <f>IF($D47="","",SUMIF(Verkäufe!$F:$F,$D47,Verkäufe!$K:$K))</f>
        <v/>
      </c>
    </row>
    <row r="48" spans="4:7" x14ac:dyDescent="0.3">
      <c r="D48" t="str">
        <f>IF(Artikel!$B46="","",Artikel!$B46)</f>
        <v/>
      </c>
      <c r="E48" t="str">
        <f>IF($D48="","",SUMIF(Verkäufe!$F:$F,$D48,Verkäufe!$G:$G))</f>
        <v/>
      </c>
      <c r="F48" s="21" t="str">
        <f>IF($D48="","",SUMIF(Verkäufe!$F:$F,$D48,Verkäufe!$J:$J))</f>
        <v/>
      </c>
      <c r="G48" s="21" t="str">
        <f>IF($D48="","",SUMIF(Verkäufe!$F:$F,$D48,Verkäufe!$K:$K))</f>
        <v/>
      </c>
    </row>
    <row r="49" spans="4:7" x14ac:dyDescent="0.3">
      <c r="D49" t="str">
        <f>IF(Artikel!$B47="","",Artikel!$B47)</f>
        <v/>
      </c>
      <c r="E49" t="str">
        <f>IF($D49="","",SUMIF(Verkäufe!$F:$F,$D49,Verkäufe!$G:$G))</f>
        <v/>
      </c>
      <c r="F49" s="21" t="str">
        <f>IF($D49="","",SUMIF(Verkäufe!$F:$F,$D49,Verkäufe!$J:$J))</f>
        <v/>
      </c>
      <c r="G49" s="21" t="str">
        <f>IF($D49="","",SUMIF(Verkäufe!$F:$F,$D49,Verkäufe!$K:$K))</f>
        <v/>
      </c>
    </row>
    <row r="50" spans="4:7" x14ac:dyDescent="0.3">
      <c r="D50" t="str">
        <f>IF(Artikel!$B48="","",Artikel!$B48)</f>
        <v/>
      </c>
      <c r="E50" t="str">
        <f>IF($D50="","",SUMIF(Verkäufe!$F:$F,$D50,Verkäufe!$G:$G))</f>
        <v/>
      </c>
      <c r="F50" s="21" t="str">
        <f>IF($D50="","",SUMIF(Verkäufe!$F:$F,$D50,Verkäufe!$J:$J))</f>
        <v/>
      </c>
      <c r="G50" s="21" t="str">
        <f>IF($D50="","",SUMIF(Verkäufe!$F:$F,$D50,Verkäufe!$K:$K))</f>
        <v/>
      </c>
    </row>
    <row r="51" spans="4:7" x14ac:dyDescent="0.3">
      <c r="D51" t="str">
        <f>IF(Artikel!$B49="","",Artikel!$B49)</f>
        <v/>
      </c>
      <c r="E51" t="str">
        <f>IF($D51="","",SUMIF(Verkäufe!$F:$F,$D51,Verkäufe!$G:$G))</f>
        <v/>
      </c>
      <c r="F51" s="21" t="str">
        <f>IF($D51="","",SUMIF(Verkäufe!$F:$F,$D51,Verkäufe!$J:$J))</f>
        <v/>
      </c>
      <c r="G51" s="21" t="str">
        <f>IF($D51="","",SUMIF(Verkäufe!$F:$F,$D51,Verkäufe!$K:$K))</f>
        <v/>
      </c>
    </row>
    <row r="52" spans="4:7" x14ac:dyDescent="0.3">
      <c r="D52" t="str">
        <f>IF(Artikel!$B50="","",Artikel!$B50)</f>
        <v/>
      </c>
      <c r="E52" t="str">
        <f>IF($D52="","",SUMIF(Verkäufe!$F:$F,$D52,Verkäufe!$G:$G))</f>
        <v/>
      </c>
      <c r="F52" s="21" t="str">
        <f>IF($D52="","",SUMIF(Verkäufe!$F:$F,$D52,Verkäufe!$J:$J))</f>
        <v/>
      </c>
      <c r="G52" s="21" t="str">
        <f>IF($D52="","",SUMIF(Verkäufe!$F:$F,$D52,Verkäufe!$K:$K))</f>
        <v/>
      </c>
    </row>
    <row r="53" spans="4:7" x14ac:dyDescent="0.3">
      <c r="D53" t="str">
        <f>IF(Artikel!$B51="","",Artikel!$B51)</f>
        <v/>
      </c>
      <c r="E53" t="str">
        <f>IF($D53="","",SUMIF(Verkäufe!$F:$F,$D53,Verkäufe!$G:$G))</f>
        <v/>
      </c>
      <c r="F53" s="21" t="str">
        <f>IF($D53="","",SUMIF(Verkäufe!$F:$F,$D53,Verkäufe!$J:$J))</f>
        <v/>
      </c>
      <c r="G53" s="21" t="str">
        <f>IF($D53="","",SUMIF(Verkäufe!$F:$F,$D53,Verkäufe!$K:$K))</f>
        <v/>
      </c>
    </row>
    <row r="54" spans="4:7" x14ac:dyDescent="0.3">
      <c r="D54" t="str">
        <f>IF(Artikel!$B52="","",Artikel!$B52)</f>
        <v/>
      </c>
      <c r="E54" t="str">
        <f>IF($D54="","",SUMIF(Verkäufe!$F:$F,$D54,Verkäufe!$G:$G))</f>
        <v/>
      </c>
      <c r="F54" s="21" t="str">
        <f>IF($D54="","",SUMIF(Verkäufe!$F:$F,$D54,Verkäufe!$J:$J))</f>
        <v/>
      </c>
      <c r="G54" s="21" t="str">
        <f>IF($D54="","",SUMIF(Verkäufe!$F:$F,$D54,Verkäufe!$K:$K))</f>
        <v/>
      </c>
    </row>
    <row r="55" spans="4:7" x14ac:dyDescent="0.3">
      <c r="D55" t="str">
        <f>IF(Artikel!$B53="","",Artikel!$B53)</f>
        <v/>
      </c>
      <c r="E55" t="str">
        <f>IF($D55="","",SUMIF(Verkäufe!$F:$F,$D55,Verkäufe!$G:$G))</f>
        <v/>
      </c>
      <c r="F55" s="21" t="str">
        <f>IF($D55="","",SUMIF(Verkäufe!$F:$F,$D55,Verkäufe!$J:$J))</f>
        <v/>
      </c>
      <c r="G55" s="21" t="str">
        <f>IF($D55="","",SUMIF(Verkäufe!$F:$F,$D55,Verkäufe!$K:$K))</f>
        <v/>
      </c>
    </row>
    <row r="56" spans="4:7" x14ac:dyDescent="0.3">
      <c r="D56" t="str">
        <f>IF(Artikel!$B54="","",Artikel!$B54)</f>
        <v/>
      </c>
      <c r="E56" t="str">
        <f>IF($D56="","",SUMIF(Verkäufe!$F:$F,$D56,Verkäufe!$G:$G))</f>
        <v/>
      </c>
      <c r="F56" s="21" t="str">
        <f>IF($D56="","",SUMIF(Verkäufe!$F:$F,$D56,Verkäufe!$J:$J))</f>
        <v/>
      </c>
      <c r="G56" s="21" t="str">
        <f>IF($D56="","",SUMIF(Verkäufe!$F:$F,$D56,Verkäufe!$K:$K))</f>
        <v/>
      </c>
    </row>
    <row r="57" spans="4:7" x14ac:dyDescent="0.3">
      <c r="D57" t="str">
        <f>IF(Artikel!$B55="","",Artikel!$B55)</f>
        <v/>
      </c>
      <c r="E57" t="str">
        <f>IF($D57="","",SUMIF(Verkäufe!$F:$F,$D57,Verkäufe!$G:$G))</f>
        <v/>
      </c>
      <c r="F57" s="21" t="str">
        <f>IF($D57="","",SUMIF(Verkäufe!$F:$F,$D57,Verkäufe!$J:$J))</f>
        <v/>
      </c>
      <c r="G57" s="21" t="str">
        <f>IF($D57="","",SUMIF(Verkäufe!$F:$F,$D57,Verkäufe!$K:$K))</f>
        <v/>
      </c>
    </row>
    <row r="58" spans="4:7" x14ac:dyDescent="0.3">
      <c r="D58" t="str">
        <f>IF(Artikel!$B56="","",Artikel!$B56)</f>
        <v/>
      </c>
      <c r="E58" t="str">
        <f>IF($D58="","",SUMIF(Verkäufe!$F:$F,$D58,Verkäufe!$G:$G))</f>
        <v/>
      </c>
      <c r="F58" s="21" t="str">
        <f>IF($D58="","",SUMIF(Verkäufe!$F:$F,$D58,Verkäufe!$J:$J))</f>
        <v/>
      </c>
      <c r="G58" s="21" t="str">
        <f>IF($D58="","",SUMIF(Verkäufe!$F:$F,$D58,Verkäufe!$K:$K))</f>
        <v/>
      </c>
    </row>
    <row r="59" spans="4:7" x14ac:dyDescent="0.3">
      <c r="D59" t="str">
        <f>IF(Artikel!$B57="","",Artikel!$B57)</f>
        <v/>
      </c>
      <c r="E59" t="str">
        <f>IF($D59="","",SUMIF(Verkäufe!$F:$F,$D59,Verkäufe!$G:$G))</f>
        <v/>
      </c>
      <c r="F59" s="21" t="str">
        <f>IF($D59="","",SUMIF(Verkäufe!$F:$F,$D59,Verkäufe!$J:$J))</f>
        <v/>
      </c>
      <c r="G59" s="21" t="str">
        <f>IF($D59="","",SUMIF(Verkäufe!$F:$F,$D59,Verkäufe!$K:$K))</f>
        <v/>
      </c>
    </row>
    <row r="60" spans="4:7" x14ac:dyDescent="0.3">
      <c r="D60" t="str">
        <f>IF(Artikel!$B58="","",Artikel!$B58)</f>
        <v/>
      </c>
      <c r="E60" t="str">
        <f>IF($D60="","",SUMIF(Verkäufe!$F:$F,$D60,Verkäufe!$G:$G))</f>
        <v/>
      </c>
      <c r="F60" s="21" t="str">
        <f>IF($D60="","",SUMIF(Verkäufe!$F:$F,$D60,Verkäufe!$J:$J))</f>
        <v/>
      </c>
      <c r="G60" s="21" t="str">
        <f>IF($D60="","",SUMIF(Verkäufe!$F:$F,$D60,Verkäufe!$K:$K))</f>
        <v/>
      </c>
    </row>
    <row r="61" spans="4:7" x14ac:dyDescent="0.3">
      <c r="D61" t="str">
        <f>IF(Artikel!$B59="","",Artikel!$B59)</f>
        <v/>
      </c>
      <c r="E61" t="str">
        <f>IF($D61="","",SUMIF(Verkäufe!$F:$F,$D61,Verkäufe!$G:$G))</f>
        <v/>
      </c>
      <c r="F61" s="21" t="str">
        <f>IF($D61="","",SUMIF(Verkäufe!$F:$F,$D61,Verkäufe!$J:$J))</f>
        <v/>
      </c>
      <c r="G61" s="21" t="str">
        <f>IF($D61="","",SUMIF(Verkäufe!$F:$F,$D61,Verkäufe!$K:$K))</f>
        <v/>
      </c>
    </row>
    <row r="62" spans="4:7" x14ac:dyDescent="0.3">
      <c r="D62" t="str">
        <f>IF(Artikel!$B60="","",Artikel!$B60)</f>
        <v/>
      </c>
      <c r="E62" t="str">
        <f>IF($D62="","",SUMIF(Verkäufe!$F:$F,$D62,Verkäufe!$G:$G))</f>
        <v/>
      </c>
      <c r="F62" s="21" t="str">
        <f>IF($D62="","",SUMIF(Verkäufe!$F:$F,$D62,Verkäufe!$J:$J))</f>
        <v/>
      </c>
      <c r="G62" s="21" t="str">
        <f>IF($D62="","",SUMIF(Verkäufe!$F:$F,$D62,Verkäufe!$K:$K))</f>
        <v/>
      </c>
    </row>
    <row r="63" spans="4:7" x14ac:dyDescent="0.3">
      <c r="D63" t="str">
        <f>IF(Artikel!$B61="","",Artikel!$B61)</f>
        <v/>
      </c>
      <c r="E63" t="str">
        <f>IF($D63="","",SUMIF(Verkäufe!$F:$F,$D63,Verkäufe!$G:$G))</f>
        <v/>
      </c>
      <c r="F63" s="21" t="str">
        <f>IF($D63="","",SUMIF(Verkäufe!$F:$F,$D63,Verkäufe!$J:$J))</f>
        <v/>
      </c>
      <c r="G63" s="21" t="str">
        <f>IF($D63="","",SUMIF(Verkäufe!$F:$F,$D63,Verkäufe!$K:$K))</f>
        <v/>
      </c>
    </row>
    <row r="64" spans="4:7" x14ac:dyDescent="0.3">
      <c r="D64" t="str">
        <f>IF(Artikel!$B62="","",Artikel!$B62)</f>
        <v/>
      </c>
      <c r="E64" t="str">
        <f>IF($D64="","",SUMIF(Verkäufe!$F:$F,$D64,Verkäufe!$G:$G))</f>
        <v/>
      </c>
      <c r="F64" s="21" t="str">
        <f>IF($D64="","",SUMIF(Verkäufe!$F:$F,$D64,Verkäufe!$J:$J))</f>
        <v/>
      </c>
      <c r="G64" s="21" t="str">
        <f>IF($D64="","",SUMIF(Verkäufe!$F:$F,$D64,Verkäufe!$K:$K))</f>
        <v/>
      </c>
    </row>
    <row r="65" spans="4:7" x14ac:dyDescent="0.3">
      <c r="D65" t="str">
        <f>IF(Artikel!$B63="","",Artikel!$B63)</f>
        <v/>
      </c>
      <c r="E65" t="str">
        <f>IF($D65="","",SUMIF(Verkäufe!$F:$F,$D65,Verkäufe!$G:$G))</f>
        <v/>
      </c>
      <c r="F65" s="21" t="str">
        <f>IF($D65="","",SUMIF(Verkäufe!$F:$F,$D65,Verkäufe!$J:$J))</f>
        <v/>
      </c>
      <c r="G65" s="21" t="str">
        <f>IF($D65="","",SUMIF(Verkäufe!$F:$F,$D65,Verkäufe!$K:$K))</f>
        <v/>
      </c>
    </row>
    <row r="66" spans="4:7" x14ac:dyDescent="0.3">
      <c r="D66" t="str">
        <f>IF(Artikel!$B64="","",Artikel!$B64)</f>
        <v/>
      </c>
      <c r="E66" t="str">
        <f>IF($D66="","",SUMIF(Verkäufe!$F:$F,$D66,Verkäufe!$G:$G))</f>
        <v/>
      </c>
      <c r="F66" s="21" t="str">
        <f>IF($D66="","",SUMIF(Verkäufe!$F:$F,$D66,Verkäufe!$J:$J))</f>
        <v/>
      </c>
      <c r="G66" s="21" t="str">
        <f>IF($D66="","",SUMIF(Verkäufe!$F:$F,$D66,Verkäufe!$K:$K))</f>
        <v/>
      </c>
    </row>
    <row r="67" spans="4:7" x14ac:dyDescent="0.3">
      <c r="D67" t="str">
        <f>IF(Artikel!$B65="","",Artikel!$B65)</f>
        <v/>
      </c>
      <c r="E67" t="str">
        <f>IF($D67="","",SUMIF(Verkäufe!$F:$F,$D67,Verkäufe!$G:$G))</f>
        <v/>
      </c>
      <c r="F67" s="21" t="str">
        <f>IF($D67="","",SUMIF(Verkäufe!$F:$F,$D67,Verkäufe!$J:$J))</f>
        <v/>
      </c>
      <c r="G67" s="21" t="str">
        <f>IF($D67="","",SUMIF(Verkäufe!$F:$F,$D67,Verkäufe!$K:$K))</f>
        <v/>
      </c>
    </row>
    <row r="68" spans="4:7" x14ac:dyDescent="0.3">
      <c r="D68" t="str">
        <f>IF(Artikel!$B66="","",Artikel!$B66)</f>
        <v/>
      </c>
      <c r="E68" t="str">
        <f>IF($D68="","",SUMIF(Verkäufe!$F:$F,$D68,Verkäufe!$G:$G))</f>
        <v/>
      </c>
      <c r="F68" s="21" t="str">
        <f>IF($D68="","",SUMIF(Verkäufe!$F:$F,$D68,Verkäufe!$J:$J))</f>
        <v/>
      </c>
      <c r="G68" s="21" t="str">
        <f>IF($D68="","",SUMIF(Verkäufe!$F:$F,$D68,Verkäufe!$K:$K))</f>
        <v/>
      </c>
    </row>
    <row r="69" spans="4:7" x14ac:dyDescent="0.3">
      <c r="D69" t="str">
        <f>IF(Artikel!$B67="","",Artikel!$B67)</f>
        <v/>
      </c>
      <c r="E69" t="str">
        <f>IF($D69="","",SUMIF(Verkäufe!$F:$F,$D69,Verkäufe!$G:$G))</f>
        <v/>
      </c>
      <c r="F69" s="21" t="str">
        <f>IF($D69="","",SUMIF(Verkäufe!$F:$F,$D69,Verkäufe!$J:$J))</f>
        <v/>
      </c>
      <c r="G69" s="21" t="str">
        <f>IF($D69="","",SUMIF(Verkäufe!$F:$F,$D69,Verkäufe!$K:$K))</f>
        <v/>
      </c>
    </row>
    <row r="70" spans="4:7" x14ac:dyDescent="0.3">
      <c r="D70" t="str">
        <f>IF(Artikel!$B68="","",Artikel!$B68)</f>
        <v/>
      </c>
      <c r="E70" t="str">
        <f>IF($D70="","",SUMIF(Verkäufe!$F:$F,$D70,Verkäufe!$G:$G))</f>
        <v/>
      </c>
      <c r="F70" s="21" t="str">
        <f>IF($D70="","",SUMIF(Verkäufe!$F:$F,$D70,Verkäufe!$J:$J))</f>
        <v/>
      </c>
      <c r="G70" s="21" t="str">
        <f>IF($D70="","",SUMIF(Verkäufe!$F:$F,$D70,Verkäufe!$K:$K))</f>
        <v/>
      </c>
    </row>
    <row r="71" spans="4:7" x14ac:dyDescent="0.3">
      <c r="D71" t="str">
        <f>IF(Artikel!$B69="","",Artikel!$B69)</f>
        <v/>
      </c>
      <c r="E71" t="str">
        <f>IF($D71="","",SUMIF(Verkäufe!$F:$F,$D71,Verkäufe!$G:$G))</f>
        <v/>
      </c>
      <c r="F71" s="21" t="str">
        <f>IF($D71="","",SUMIF(Verkäufe!$F:$F,$D71,Verkäufe!$J:$J))</f>
        <v/>
      </c>
      <c r="G71" s="21" t="str">
        <f>IF($D71="","",SUMIF(Verkäufe!$F:$F,$D71,Verkäufe!$K:$K))</f>
        <v/>
      </c>
    </row>
    <row r="72" spans="4:7" x14ac:dyDescent="0.3">
      <c r="D72" t="str">
        <f>IF(Artikel!$B70="","",Artikel!$B70)</f>
        <v/>
      </c>
      <c r="E72" t="str">
        <f>IF($D72="","",SUMIF(Verkäufe!$F:$F,$D72,Verkäufe!$G:$G))</f>
        <v/>
      </c>
      <c r="F72" s="21" t="str">
        <f>IF($D72="","",SUMIF(Verkäufe!$F:$F,$D72,Verkäufe!$J:$J))</f>
        <v/>
      </c>
      <c r="G72" s="21" t="str">
        <f>IF($D72="","",SUMIF(Verkäufe!$F:$F,$D72,Verkäufe!$K:$K))</f>
        <v/>
      </c>
    </row>
    <row r="73" spans="4:7" x14ac:dyDescent="0.3">
      <c r="D73" t="str">
        <f>IF(Artikel!$B71="","",Artikel!$B71)</f>
        <v/>
      </c>
      <c r="E73" t="str">
        <f>IF($D73="","",SUMIF(Verkäufe!$F:$F,$D73,Verkäufe!$G:$G))</f>
        <v/>
      </c>
      <c r="F73" s="21" t="str">
        <f>IF($D73="","",SUMIF(Verkäufe!$F:$F,$D73,Verkäufe!$J:$J))</f>
        <v/>
      </c>
      <c r="G73" s="21" t="str">
        <f>IF($D73="","",SUMIF(Verkäufe!$F:$F,$D73,Verkäufe!$K:$K))</f>
        <v/>
      </c>
    </row>
    <row r="74" spans="4:7" x14ac:dyDescent="0.3">
      <c r="D74" t="str">
        <f>IF(Artikel!$B72="","",Artikel!$B72)</f>
        <v/>
      </c>
      <c r="E74" t="str">
        <f>IF($D74="","",SUMIF(Verkäufe!$F:$F,$D74,Verkäufe!$G:$G))</f>
        <v/>
      </c>
      <c r="F74" s="21" t="str">
        <f>IF($D74="","",SUMIF(Verkäufe!$F:$F,$D74,Verkäufe!$J:$J))</f>
        <v/>
      </c>
      <c r="G74" s="21" t="str">
        <f>IF($D74="","",SUMIF(Verkäufe!$F:$F,$D74,Verkäufe!$K:$K))</f>
        <v/>
      </c>
    </row>
    <row r="75" spans="4:7" x14ac:dyDescent="0.3">
      <c r="D75" t="str">
        <f>IF(Artikel!$B73="","",Artikel!$B73)</f>
        <v/>
      </c>
      <c r="E75" t="str">
        <f>IF($D75="","",SUMIF(Verkäufe!$F:$F,$D75,Verkäufe!$G:$G))</f>
        <v/>
      </c>
      <c r="F75" s="21" t="str">
        <f>IF($D75="","",SUMIF(Verkäufe!$F:$F,$D75,Verkäufe!$J:$J))</f>
        <v/>
      </c>
      <c r="G75" s="21" t="str">
        <f>IF($D75="","",SUMIF(Verkäufe!$F:$F,$D75,Verkäufe!$K:$K))</f>
        <v/>
      </c>
    </row>
    <row r="76" spans="4:7" x14ac:dyDescent="0.3">
      <c r="D76" t="str">
        <f>IF(Artikel!$B74="","",Artikel!$B74)</f>
        <v/>
      </c>
      <c r="E76" t="str">
        <f>IF($D76="","",SUMIF(Verkäufe!$F:$F,$D76,Verkäufe!$G:$G))</f>
        <v/>
      </c>
      <c r="F76" s="21" t="str">
        <f>IF($D76="","",SUMIF(Verkäufe!$F:$F,$D76,Verkäufe!$J:$J))</f>
        <v/>
      </c>
      <c r="G76" s="21" t="str">
        <f>IF($D76="","",SUMIF(Verkäufe!$F:$F,$D76,Verkäufe!$K:$K))</f>
        <v/>
      </c>
    </row>
    <row r="77" spans="4:7" x14ac:dyDescent="0.3">
      <c r="D77" t="str">
        <f>IF(Artikel!$B75="","",Artikel!$B75)</f>
        <v/>
      </c>
      <c r="E77" t="str">
        <f>IF($D77="","",SUMIF(Verkäufe!$F:$F,$D77,Verkäufe!$G:$G))</f>
        <v/>
      </c>
      <c r="F77" s="21" t="str">
        <f>IF($D77="","",SUMIF(Verkäufe!$F:$F,$D77,Verkäufe!$J:$J))</f>
        <v/>
      </c>
      <c r="G77" s="21" t="str">
        <f>IF($D77="","",SUMIF(Verkäufe!$F:$F,$D77,Verkäufe!$K:$K))</f>
        <v/>
      </c>
    </row>
    <row r="78" spans="4:7" x14ac:dyDescent="0.3">
      <c r="D78" t="str">
        <f>IF(Artikel!$B76="","",Artikel!$B76)</f>
        <v/>
      </c>
      <c r="E78" t="str">
        <f>IF($D78="","",SUMIF(Verkäufe!$F:$F,$D78,Verkäufe!$G:$G))</f>
        <v/>
      </c>
      <c r="F78" s="21" t="str">
        <f>IF($D78="","",SUMIF(Verkäufe!$F:$F,$D78,Verkäufe!$J:$J))</f>
        <v/>
      </c>
      <c r="G78" s="21" t="str">
        <f>IF($D78="","",SUMIF(Verkäufe!$F:$F,$D78,Verkäufe!$K:$K))</f>
        <v/>
      </c>
    </row>
    <row r="79" spans="4:7" x14ac:dyDescent="0.3">
      <c r="D79" t="str">
        <f>IF(Artikel!$B77="","",Artikel!$B77)</f>
        <v/>
      </c>
      <c r="E79" t="str">
        <f>IF($D79="","",SUMIF(Verkäufe!$F:$F,$D79,Verkäufe!$G:$G))</f>
        <v/>
      </c>
      <c r="F79" s="21" t="str">
        <f>IF($D79="","",SUMIF(Verkäufe!$F:$F,$D79,Verkäufe!$J:$J))</f>
        <v/>
      </c>
      <c r="G79" s="21" t="str">
        <f>IF($D79="","",SUMIF(Verkäufe!$F:$F,$D79,Verkäufe!$K:$K))</f>
        <v/>
      </c>
    </row>
    <row r="80" spans="4:7" x14ac:dyDescent="0.3">
      <c r="D80" t="str">
        <f>IF(Artikel!$B78="","",Artikel!$B78)</f>
        <v/>
      </c>
      <c r="E80" t="str">
        <f>IF($D80="","",SUMIF(Verkäufe!$F:$F,$D80,Verkäufe!$G:$G))</f>
        <v/>
      </c>
      <c r="F80" s="21" t="str">
        <f>IF($D80="","",SUMIF(Verkäufe!$F:$F,$D80,Verkäufe!$J:$J))</f>
        <v/>
      </c>
      <c r="G80" s="21" t="str">
        <f>IF($D80="","",SUMIF(Verkäufe!$F:$F,$D80,Verkäufe!$K:$K))</f>
        <v/>
      </c>
    </row>
    <row r="81" spans="4:7" x14ac:dyDescent="0.3">
      <c r="D81" t="str">
        <f>IF(Artikel!$B79="","",Artikel!$B79)</f>
        <v/>
      </c>
      <c r="E81" t="str">
        <f>IF($D81="","",SUMIF(Verkäufe!$F:$F,$D81,Verkäufe!$G:$G))</f>
        <v/>
      </c>
      <c r="F81" s="21" t="str">
        <f>IF($D81="","",SUMIF(Verkäufe!$F:$F,$D81,Verkäufe!$J:$J))</f>
        <v/>
      </c>
      <c r="G81" s="21" t="str">
        <f>IF($D81="","",SUMIF(Verkäufe!$F:$F,$D81,Verkäufe!$K:$K))</f>
        <v/>
      </c>
    </row>
    <row r="82" spans="4:7" x14ac:dyDescent="0.3">
      <c r="D82" t="str">
        <f>IF(Artikel!$B80="","",Artikel!$B80)</f>
        <v/>
      </c>
      <c r="E82" t="str">
        <f>IF($D82="","",SUMIF(Verkäufe!$F:$F,$D82,Verkäufe!$G:$G))</f>
        <v/>
      </c>
      <c r="F82" s="21" t="str">
        <f>IF($D82="","",SUMIF(Verkäufe!$F:$F,$D82,Verkäufe!$J:$J))</f>
        <v/>
      </c>
      <c r="G82" s="21" t="str">
        <f>IF($D82="","",SUMIF(Verkäufe!$F:$F,$D82,Verkäufe!$K:$K))</f>
        <v/>
      </c>
    </row>
    <row r="83" spans="4:7" x14ac:dyDescent="0.3">
      <c r="D83" t="str">
        <f>IF(Artikel!$B81="","",Artikel!$B81)</f>
        <v/>
      </c>
      <c r="E83" t="str">
        <f>IF($D83="","",SUMIF(Verkäufe!$F:$F,$D83,Verkäufe!$G:$G))</f>
        <v/>
      </c>
      <c r="F83" s="21" t="str">
        <f>IF($D83="","",SUMIF(Verkäufe!$F:$F,$D83,Verkäufe!$J:$J))</f>
        <v/>
      </c>
      <c r="G83" s="21" t="str">
        <f>IF($D83="","",SUMIF(Verkäufe!$F:$F,$D83,Verkäufe!$K:$K))</f>
        <v/>
      </c>
    </row>
    <row r="84" spans="4:7" x14ac:dyDescent="0.3">
      <c r="D84" t="str">
        <f>IF(Artikel!$B82="","",Artikel!$B82)</f>
        <v/>
      </c>
      <c r="E84" t="str">
        <f>IF($D84="","",SUMIF(Verkäufe!$F:$F,$D84,Verkäufe!$G:$G))</f>
        <v/>
      </c>
      <c r="F84" s="21" t="str">
        <f>IF($D84="","",SUMIF(Verkäufe!$F:$F,$D84,Verkäufe!$J:$J))</f>
        <v/>
      </c>
      <c r="G84" s="21" t="str">
        <f>IF($D84="","",SUMIF(Verkäufe!$F:$F,$D84,Verkäufe!$K:$K))</f>
        <v/>
      </c>
    </row>
    <row r="85" spans="4:7" x14ac:dyDescent="0.3">
      <c r="D85" t="str">
        <f>IF(Artikel!$B83="","",Artikel!$B83)</f>
        <v/>
      </c>
      <c r="E85" t="str">
        <f>IF($D85="","",SUMIF(Verkäufe!$F:$F,$D85,Verkäufe!$G:$G))</f>
        <v/>
      </c>
      <c r="F85" s="21" t="str">
        <f>IF($D85="","",SUMIF(Verkäufe!$F:$F,$D85,Verkäufe!$J:$J))</f>
        <v/>
      </c>
      <c r="G85" s="21" t="str">
        <f>IF($D85="","",SUMIF(Verkäufe!$F:$F,$D85,Verkäufe!$K:$K))</f>
        <v/>
      </c>
    </row>
    <row r="86" spans="4:7" x14ac:dyDescent="0.3">
      <c r="D86" t="str">
        <f>IF(Artikel!$B84="","",Artikel!$B84)</f>
        <v/>
      </c>
      <c r="E86" t="str">
        <f>IF($D86="","",SUMIF(Verkäufe!$F:$F,$D86,Verkäufe!$G:$G))</f>
        <v/>
      </c>
      <c r="F86" s="21" t="str">
        <f>IF($D86="","",SUMIF(Verkäufe!$F:$F,$D86,Verkäufe!$J:$J))</f>
        <v/>
      </c>
      <c r="G86" s="21" t="str">
        <f>IF($D86="","",SUMIF(Verkäufe!$F:$F,$D86,Verkäufe!$K:$K))</f>
        <v/>
      </c>
    </row>
    <row r="87" spans="4:7" x14ac:dyDescent="0.3">
      <c r="D87" t="str">
        <f>IF(Artikel!$B85="","",Artikel!$B85)</f>
        <v/>
      </c>
      <c r="E87" t="str">
        <f>IF($D87="","",SUMIF(Verkäufe!$F:$F,$D87,Verkäufe!$G:$G))</f>
        <v/>
      </c>
      <c r="F87" s="21" t="str">
        <f>IF($D87="","",SUMIF(Verkäufe!$F:$F,$D87,Verkäufe!$J:$J))</f>
        <v/>
      </c>
      <c r="G87" s="21" t="str">
        <f>IF($D87="","",SUMIF(Verkäufe!$F:$F,$D87,Verkäufe!$K:$K))</f>
        <v/>
      </c>
    </row>
    <row r="88" spans="4:7" x14ac:dyDescent="0.3">
      <c r="D88" t="str">
        <f>IF(Artikel!$B86="","",Artikel!$B86)</f>
        <v/>
      </c>
      <c r="E88" t="str">
        <f>IF($D88="","",SUMIF(Verkäufe!$F:$F,$D88,Verkäufe!$G:$G))</f>
        <v/>
      </c>
      <c r="F88" s="21" t="str">
        <f>IF($D88="","",SUMIF(Verkäufe!$F:$F,$D88,Verkäufe!$J:$J))</f>
        <v/>
      </c>
      <c r="G88" s="21" t="str">
        <f>IF($D88="","",SUMIF(Verkäufe!$F:$F,$D88,Verkäufe!$K:$K))</f>
        <v/>
      </c>
    </row>
    <row r="89" spans="4:7" x14ac:dyDescent="0.3">
      <c r="D89" t="str">
        <f>IF(Artikel!$B87="","",Artikel!$B87)</f>
        <v/>
      </c>
      <c r="E89" t="str">
        <f>IF($D89="","",SUMIF(Verkäufe!$F:$F,$D89,Verkäufe!$G:$G))</f>
        <v/>
      </c>
      <c r="F89" s="21" t="str">
        <f>IF($D89="","",SUMIF(Verkäufe!$F:$F,$D89,Verkäufe!$J:$J))</f>
        <v/>
      </c>
      <c r="G89" s="21" t="str">
        <f>IF($D89="","",SUMIF(Verkäufe!$F:$F,$D89,Verkäufe!$K:$K))</f>
        <v/>
      </c>
    </row>
    <row r="90" spans="4:7" x14ac:dyDescent="0.3">
      <c r="D90" t="str">
        <f>IF(Artikel!$B88="","",Artikel!$B88)</f>
        <v/>
      </c>
      <c r="E90" t="str">
        <f>IF($D90="","",SUMIF(Verkäufe!$F:$F,$D90,Verkäufe!$G:$G))</f>
        <v/>
      </c>
      <c r="F90" s="21" t="str">
        <f>IF($D90="","",SUMIF(Verkäufe!$F:$F,$D90,Verkäufe!$J:$J))</f>
        <v/>
      </c>
      <c r="G90" s="21" t="str">
        <f>IF($D90="","",SUMIF(Verkäufe!$F:$F,$D90,Verkäufe!$K:$K))</f>
        <v/>
      </c>
    </row>
    <row r="91" spans="4:7" x14ac:dyDescent="0.3">
      <c r="D91" t="str">
        <f>IF(Artikel!$B89="","",Artikel!$B89)</f>
        <v/>
      </c>
      <c r="E91" t="str">
        <f>IF($D91="","",SUMIF(Verkäufe!$F:$F,$D91,Verkäufe!$G:$G))</f>
        <v/>
      </c>
      <c r="F91" s="21" t="str">
        <f>IF($D91="","",SUMIF(Verkäufe!$F:$F,$D91,Verkäufe!$J:$J))</f>
        <v/>
      </c>
      <c r="G91" s="21" t="str">
        <f>IF($D91="","",SUMIF(Verkäufe!$F:$F,$D91,Verkäufe!$K:$K))</f>
        <v/>
      </c>
    </row>
    <row r="92" spans="4:7" x14ac:dyDescent="0.3">
      <c r="D92" t="str">
        <f>IF(Artikel!$B90="","",Artikel!$B90)</f>
        <v/>
      </c>
      <c r="E92" t="str">
        <f>IF($D92="","",SUMIF(Verkäufe!$F:$F,$D92,Verkäufe!$G:$G))</f>
        <v/>
      </c>
      <c r="F92" s="21" t="str">
        <f>IF($D92="","",SUMIF(Verkäufe!$F:$F,$D92,Verkäufe!$J:$J))</f>
        <v/>
      </c>
      <c r="G92" s="21" t="str">
        <f>IF($D92="","",SUMIF(Verkäufe!$F:$F,$D92,Verkäufe!$K:$K))</f>
        <v/>
      </c>
    </row>
    <row r="93" spans="4:7" x14ac:dyDescent="0.3">
      <c r="D93" t="str">
        <f>IF(Artikel!$B91="","",Artikel!$B91)</f>
        <v/>
      </c>
      <c r="E93" t="str">
        <f>IF($D93="","",SUMIF(Verkäufe!$F:$F,$D93,Verkäufe!$G:$G))</f>
        <v/>
      </c>
      <c r="F93" s="21" t="str">
        <f>IF($D93="","",SUMIF(Verkäufe!$F:$F,$D93,Verkäufe!$J:$J))</f>
        <v/>
      </c>
      <c r="G93" s="21" t="str">
        <f>IF($D93="","",SUMIF(Verkäufe!$F:$F,$D93,Verkäufe!$K:$K))</f>
        <v/>
      </c>
    </row>
    <row r="94" spans="4:7" x14ac:dyDescent="0.3">
      <c r="D94" t="str">
        <f>IF(Artikel!$B92="","",Artikel!$B92)</f>
        <v/>
      </c>
      <c r="E94" t="str">
        <f>IF($D94="","",SUMIF(Verkäufe!$F:$F,$D94,Verkäufe!$G:$G))</f>
        <v/>
      </c>
      <c r="F94" s="21" t="str">
        <f>IF($D94="","",SUMIF(Verkäufe!$F:$F,$D94,Verkäufe!$J:$J))</f>
        <v/>
      </c>
      <c r="G94" s="21" t="str">
        <f>IF($D94="","",SUMIF(Verkäufe!$F:$F,$D94,Verkäufe!$K:$K))</f>
        <v/>
      </c>
    </row>
    <row r="95" spans="4:7" x14ac:dyDescent="0.3">
      <c r="D95" t="str">
        <f>IF(Artikel!$B93="","",Artikel!$B93)</f>
        <v/>
      </c>
      <c r="E95" t="str">
        <f>IF($D95="","",SUMIF(Verkäufe!$F:$F,$D95,Verkäufe!$G:$G))</f>
        <v/>
      </c>
      <c r="F95" s="21" t="str">
        <f>IF($D95="","",SUMIF(Verkäufe!$F:$F,$D95,Verkäufe!$J:$J))</f>
        <v/>
      </c>
      <c r="G95" s="21" t="str">
        <f>IF($D95="","",SUMIF(Verkäufe!$F:$F,$D95,Verkäufe!$K:$K))</f>
        <v/>
      </c>
    </row>
    <row r="96" spans="4:7" x14ac:dyDescent="0.3">
      <c r="D96" t="str">
        <f>IF(Artikel!$B94="","",Artikel!$B94)</f>
        <v/>
      </c>
      <c r="E96" t="str">
        <f>IF($D96="","",SUMIF(Verkäufe!$F:$F,$D96,Verkäufe!$G:$G))</f>
        <v/>
      </c>
      <c r="F96" s="21" t="str">
        <f>IF($D96="","",SUMIF(Verkäufe!$F:$F,$D96,Verkäufe!$J:$J))</f>
        <v/>
      </c>
      <c r="G96" s="21" t="str">
        <f>IF($D96="","",SUMIF(Verkäufe!$F:$F,$D96,Verkäufe!$K:$K))</f>
        <v/>
      </c>
    </row>
    <row r="97" spans="4:7" x14ac:dyDescent="0.3">
      <c r="D97" t="str">
        <f>IF(Artikel!$B95="","",Artikel!$B95)</f>
        <v/>
      </c>
      <c r="E97" t="str">
        <f>IF($D97="","",SUMIF(Verkäufe!$F:$F,$D97,Verkäufe!$G:$G))</f>
        <v/>
      </c>
      <c r="F97" s="21" t="str">
        <f>IF($D97="","",SUMIF(Verkäufe!$F:$F,$D97,Verkäufe!$J:$J))</f>
        <v/>
      </c>
      <c r="G97" s="21" t="str">
        <f>IF($D97="","",SUMIF(Verkäufe!$F:$F,$D97,Verkäufe!$K:$K))</f>
        <v/>
      </c>
    </row>
    <row r="98" spans="4:7" x14ac:dyDescent="0.3">
      <c r="D98" t="str">
        <f>IF(Artikel!$B96="","",Artikel!$B96)</f>
        <v/>
      </c>
      <c r="E98" t="str">
        <f>IF($D98="","",SUMIF(Verkäufe!$F:$F,$D98,Verkäufe!$G:$G))</f>
        <v/>
      </c>
      <c r="F98" s="21" t="str">
        <f>IF($D98="","",SUMIF(Verkäufe!$F:$F,$D98,Verkäufe!$J:$J))</f>
        <v/>
      </c>
      <c r="G98" s="21" t="str">
        <f>IF($D98="","",SUMIF(Verkäufe!$F:$F,$D98,Verkäufe!$K:$K))</f>
        <v/>
      </c>
    </row>
    <row r="99" spans="4:7" x14ac:dyDescent="0.3">
      <c r="D99" t="str">
        <f>IF(Artikel!$B97="","",Artikel!$B97)</f>
        <v/>
      </c>
      <c r="E99" t="str">
        <f>IF($D99="","",SUMIF(Verkäufe!$F:$F,$D99,Verkäufe!$G:$G))</f>
        <v/>
      </c>
      <c r="F99" s="21" t="str">
        <f>IF($D99="","",SUMIF(Verkäufe!$F:$F,$D99,Verkäufe!$J:$J))</f>
        <v/>
      </c>
      <c r="G99" s="21" t="str">
        <f>IF($D99="","",SUMIF(Verkäufe!$F:$F,$D99,Verkäufe!$K:$K))</f>
        <v/>
      </c>
    </row>
    <row r="100" spans="4:7" x14ac:dyDescent="0.3">
      <c r="D100" t="str">
        <f>IF(Artikel!$B98="","",Artikel!$B98)</f>
        <v/>
      </c>
      <c r="E100" t="str">
        <f>IF($D100="","",SUMIF(Verkäufe!$F:$F,$D100,Verkäufe!$G:$G))</f>
        <v/>
      </c>
      <c r="F100" s="21" t="str">
        <f>IF($D100="","",SUMIF(Verkäufe!$F:$F,$D100,Verkäufe!$J:$J))</f>
        <v/>
      </c>
      <c r="G100" s="21" t="str">
        <f>IF($D100="","",SUMIF(Verkäufe!$F:$F,$D100,Verkäufe!$K:$K))</f>
        <v/>
      </c>
    </row>
    <row r="101" spans="4:7" x14ac:dyDescent="0.3">
      <c r="D101" t="str">
        <f>IF(Artikel!$B99="","",Artikel!$B99)</f>
        <v/>
      </c>
      <c r="E101" t="str">
        <f>IF($D101="","",SUMIF(Verkäufe!$F:$F,$D101,Verkäufe!$G:$G))</f>
        <v/>
      </c>
      <c r="F101" s="21" t="str">
        <f>IF($D101="","",SUMIF(Verkäufe!$F:$F,$D101,Verkäufe!$J:$J))</f>
        <v/>
      </c>
      <c r="G101" s="21" t="str">
        <f>IF($D101="","",SUMIF(Verkäufe!$F:$F,$D101,Verkäufe!$K:$K))</f>
        <v/>
      </c>
    </row>
    <row r="102" spans="4:7" x14ac:dyDescent="0.3">
      <c r="D102" t="str">
        <f>IF(Artikel!$B100="","",Artikel!$B100)</f>
        <v/>
      </c>
      <c r="E102" t="str">
        <f>IF($D102="","",SUMIF(Verkäufe!$F:$F,$D102,Verkäufe!$G:$G))</f>
        <v/>
      </c>
      <c r="F102" s="21" t="str">
        <f>IF($D102="","",SUMIF(Verkäufe!$F:$F,$D102,Verkäufe!$J:$J))</f>
        <v/>
      </c>
      <c r="G102" s="21" t="str">
        <f>IF($D102="","",SUMIF(Verkäufe!$F:$F,$D102,Verkäufe!$K:$K))</f>
        <v/>
      </c>
    </row>
    <row r="103" spans="4:7" x14ac:dyDescent="0.3">
      <c r="D103" t="str">
        <f>IF(Artikel!$B101="","",Artikel!$B101)</f>
        <v/>
      </c>
      <c r="E103" t="str">
        <f>IF($D103="","",SUMIF(Verkäufe!$F:$F,$D103,Verkäufe!$G:$G))</f>
        <v/>
      </c>
      <c r="F103" s="21" t="str">
        <f>IF($D103="","",SUMIF(Verkäufe!$F:$F,$D103,Verkäufe!$J:$J))</f>
        <v/>
      </c>
      <c r="G103" s="21" t="str">
        <f>IF($D103="","",SUMIF(Verkäufe!$F:$F,$D103,Verkäufe!$K:$K))</f>
        <v/>
      </c>
    </row>
    <row r="104" spans="4:7" x14ac:dyDescent="0.3">
      <c r="D104" t="str">
        <f>IF(Artikel!$B102="","",Artikel!$B102)</f>
        <v/>
      </c>
      <c r="E104" t="str">
        <f>IF($D104="","",SUMIF(Verkäufe!$F:$F,$D104,Verkäufe!$G:$G))</f>
        <v/>
      </c>
      <c r="F104" s="21" t="str">
        <f>IF($D104="","",SUMIF(Verkäufe!$F:$F,$D104,Verkäufe!$J:$J))</f>
        <v/>
      </c>
      <c r="G104" s="21" t="str">
        <f>IF($D104="","",SUMIF(Verkäufe!$F:$F,$D104,Verkäufe!$K:$K))</f>
        <v/>
      </c>
    </row>
    <row r="105" spans="4:7" x14ac:dyDescent="0.3">
      <c r="D105" t="str">
        <f>IF(Artikel!$B103="","",Artikel!$B103)</f>
        <v/>
      </c>
      <c r="E105" t="str">
        <f>IF($D105="","",SUMIF(Verkäufe!$F:$F,$D105,Verkäufe!$G:$G))</f>
        <v/>
      </c>
      <c r="F105" s="21" t="str">
        <f>IF($D105="","",SUMIF(Verkäufe!$F:$F,$D105,Verkäufe!$J:$J))</f>
        <v/>
      </c>
      <c r="G105" s="21" t="str">
        <f>IF($D105="","",SUMIF(Verkäufe!$F:$F,$D105,Verkäufe!$K:$K))</f>
        <v/>
      </c>
    </row>
    <row r="106" spans="4:7" x14ac:dyDescent="0.3">
      <c r="D106" t="str">
        <f>IF(Artikel!$B104="","",Artikel!$B104)</f>
        <v/>
      </c>
      <c r="E106" t="str">
        <f>IF($D106="","",SUMIF(Verkäufe!$F:$F,$D106,Verkäufe!$G:$G))</f>
        <v/>
      </c>
      <c r="F106" s="21" t="str">
        <f>IF($D106="","",SUMIF(Verkäufe!$F:$F,$D106,Verkäufe!$J:$J))</f>
        <v/>
      </c>
      <c r="G106" s="21" t="str">
        <f>IF($D106="","",SUMIF(Verkäufe!$F:$F,$D106,Verkäufe!$K:$K))</f>
        <v/>
      </c>
    </row>
    <row r="107" spans="4:7" x14ac:dyDescent="0.3">
      <c r="D107" t="str">
        <f>IF(Artikel!$B105="","",Artikel!$B105)</f>
        <v/>
      </c>
      <c r="E107" t="str">
        <f>IF($D107="","",SUMIF(Verkäufe!$F:$F,$D107,Verkäufe!$G:$G))</f>
        <v/>
      </c>
      <c r="F107" s="21" t="str">
        <f>IF($D107="","",SUMIF(Verkäufe!$F:$F,$D107,Verkäufe!$J:$J))</f>
        <v/>
      </c>
      <c r="G107" s="21" t="str">
        <f>IF($D107="","",SUMIF(Verkäufe!$F:$F,$D107,Verkäufe!$K:$K))</f>
        <v/>
      </c>
    </row>
    <row r="108" spans="4:7" x14ac:dyDescent="0.3">
      <c r="D108" t="str">
        <f>IF(Artikel!$B106="","",Artikel!$B106)</f>
        <v/>
      </c>
      <c r="E108" t="str">
        <f>IF($D108="","",SUMIF(Verkäufe!$F:$F,$D108,Verkäufe!$G:$G))</f>
        <v/>
      </c>
      <c r="F108" s="21" t="str">
        <f>IF($D108="","",SUMIF(Verkäufe!$F:$F,$D108,Verkäufe!$J:$J))</f>
        <v/>
      </c>
      <c r="G108" s="21" t="str">
        <f>IF($D108="","",SUMIF(Verkäufe!$F:$F,$D108,Verkäufe!$K:$K))</f>
        <v/>
      </c>
    </row>
    <row r="109" spans="4:7" x14ac:dyDescent="0.3">
      <c r="D109" t="str">
        <f>IF(Artikel!$B107="","",Artikel!$B107)</f>
        <v/>
      </c>
      <c r="E109" t="str">
        <f>IF($D109="","",SUMIF(Verkäufe!$F:$F,$D109,Verkäufe!$G:$G))</f>
        <v/>
      </c>
      <c r="F109" s="21" t="str">
        <f>IF($D109="","",SUMIF(Verkäufe!$F:$F,$D109,Verkäufe!$J:$J))</f>
        <v/>
      </c>
      <c r="G109" s="21" t="str">
        <f>IF($D109="","",SUMIF(Verkäufe!$F:$F,$D109,Verkäufe!$K:$K))</f>
        <v/>
      </c>
    </row>
    <row r="110" spans="4:7" x14ac:dyDescent="0.3">
      <c r="D110" t="str">
        <f>IF(Artikel!$B108="","",Artikel!$B108)</f>
        <v/>
      </c>
      <c r="E110" t="str">
        <f>IF($D110="","",SUMIF(Verkäufe!$F:$F,$D110,Verkäufe!$G:$G))</f>
        <v/>
      </c>
      <c r="F110" s="21" t="str">
        <f>IF($D110="","",SUMIF(Verkäufe!$F:$F,$D110,Verkäufe!$J:$J))</f>
        <v/>
      </c>
      <c r="G110" s="21" t="str">
        <f>IF($D110="","",SUMIF(Verkäufe!$F:$F,$D110,Verkäufe!$K:$K))</f>
        <v/>
      </c>
    </row>
    <row r="111" spans="4:7" x14ac:dyDescent="0.3">
      <c r="D111" t="str">
        <f>IF(Artikel!$B109="","",Artikel!$B109)</f>
        <v/>
      </c>
      <c r="E111" t="str">
        <f>IF($D111="","",SUMIF(Verkäufe!$F:$F,$D111,Verkäufe!$G:$G))</f>
        <v/>
      </c>
      <c r="F111" s="21" t="str">
        <f>IF($D111="","",SUMIF(Verkäufe!$F:$F,$D111,Verkäufe!$J:$J))</f>
        <v/>
      </c>
      <c r="G111" s="21" t="str">
        <f>IF($D111="","",SUMIF(Verkäufe!$F:$F,$D111,Verkäufe!$K:$K))</f>
        <v/>
      </c>
    </row>
    <row r="112" spans="4:7" x14ac:dyDescent="0.3">
      <c r="D112" t="str">
        <f>IF(Artikel!$B110="","",Artikel!$B110)</f>
        <v/>
      </c>
      <c r="E112" t="str">
        <f>IF($D112="","",SUMIF(Verkäufe!$F:$F,$D112,Verkäufe!$G:$G))</f>
        <v/>
      </c>
      <c r="F112" s="21" t="str">
        <f>IF($D112="","",SUMIF(Verkäufe!$F:$F,$D112,Verkäufe!$J:$J))</f>
        <v/>
      </c>
      <c r="G112" s="21" t="str">
        <f>IF($D112="","",SUMIF(Verkäufe!$F:$F,$D112,Verkäufe!$K:$K))</f>
        <v/>
      </c>
    </row>
    <row r="113" spans="4:7" x14ac:dyDescent="0.3">
      <c r="D113" t="str">
        <f>IF(Artikel!$B111="","",Artikel!$B111)</f>
        <v/>
      </c>
      <c r="E113" t="str">
        <f>IF($D113="","",SUMIF(Verkäufe!$F:$F,$D113,Verkäufe!$G:$G))</f>
        <v/>
      </c>
      <c r="F113" s="21" t="str">
        <f>IF($D113="","",SUMIF(Verkäufe!$F:$F,$D113,Verkäufe!$J:$J))</f>
        <v/>
      </c>
      <c r="G113" s="21" t="str">
        <f>IF($D113="","",SUMIF(Verkäufe!$F:$F,$D113,Verkäufe!$K:$K))</f>
        <v/>
      </c>
    </row>
    <row r="114" spans="4:7" x14ac:dyDescent="0.3">
      <c r="D114" t="str">
        <f>IF(Artikel!$B112="","",Artikel!$B112)</f>
        <v/>
      </c>
      <c r="E114" t="str">
        <f>IF($D114="","",SUMIF(Verkäufe!$F:$F,$D114,Verkäufe!$G:$G))</f>
        <v/>
      </c>
      <c r="F114" s="21" t="str">
        <f>IF($D114="","",SUMIF(Verkäufe!$F:$F,$D114,Verkäufe!$J:$J))</f>
        <v/>
      </c>
      <c r="G114" s="21" t="str">
        <f>IF($D114="","",SUMIF(Verkäufe!$F:$F,$D114,Verkäufe!$K:$K))</f>
        <v/>
      </c>
    </row>
    <row r="115" spans="4:7" x14ac:dyDescent="0.3">
      <c r="D115" t="str">
        <f>IF(Artikel!$B113="","",Artikel!$B113)</f>
        <v/>
      </c>
      <c r="E115" t="str">
        <f>IF($D115="","",SUMIF(Verkäufe!$F:$F,$D115,Verkäufe!$G:$G))</f>
        <v/>
      </c>
      <c r="F115" s="21" t="str">
        <f>IF($D115="","",SUMIF(Verkäufe!$F:$F,$D115,Verkäufe!$J:$J))</f>
        <v/>
      </c>
      <c r="G115" s="21" t="str">
        <f>IF($D115="","",SUMIF(Verkäufe!$F:$F,$D115,Verkäufe!$K:$K))</f>
        <v/>
      </c>
    </row>
    <row r="116" spans="4:7" x14ac:dyDescent="0.3">
      <c r="D116" t="str">
        <f>IF(Artikel!$B114="","",Artikel!$B114)</f>
        <v/>
      </c>
      <c r="E116" t="str">
        <f>IF($D116="","",SUMIF(Verkäufe!$F:$F,$D116,Verkäufe!$G:$G))</f>
        <v/>
      </c>
      <c r="F116" s="21" t="str">
        <f>IF($D116="","",SUMIF(Verkäufe!$F:$F,$D116,Verkäufe!$J:$J))</f>
        <v/>
      </c>
      <c r="G116" s="21" t="str">
        <f>IF($D116="","",SUMIF(Verkäufe!$F:$F,$D116,Verkäufe!$K:$K))</f>
        <v/>
      </c>
    </row>
    <row r="117" spans="4:7" x14ac:dyDescent="0.3">
      <c r="D117" t="str">
        <f>IF(Artikel!$B115="","",Artikel!$B115)</f>
        <v/>
      </c>
      <c r="E117" t="str">
        <f>IF($D117="","",SUMIF(Verkäufe!$F:$F,$D117,Verkäufe!$G:$G))</f>
        <v/>
      </c>
      <c r="F117" s="21" t="str">
        <f>IF($D117="","",SUMIF(Verkäufe!$F:$F,$D117,Verkäufe!$J:$J))</f>
        <v/>
      </c>
      <c r="G117" s="21" t="str">
        <f>IF($D117="","",SUMIF(Verkäufe!$F:$F,$D117,Verkäufe!$K:$K))</f>
        <v/>
      </c>
    </row>
    <row r="118" spans="4:7" x14ac:dyDescent="0.3">
      <c r="D118" t="str">
        <f>IF(Artikel!$B116="","",Artikel!$B116)</f>
        <v/>
      </c>
      <c r="E118" t="str">
        <f>IF($D118="","",SUMIF(Verkäufe!$F:$F,$D118,Verkäufe!$G:$G))</f>
        <v/>
      </c>
      <c r="F118" s="21" t="str">
        <f>IF($D118="","",SUMIF(Verkäufe!$F:$F,$D118,Verkäufe!$J:$J))</f>
        <v/>
      </c>
      <c r="G118" s="21" t="str">
        <f>IF($D118="","",SUMIF(Verkäufe!$F:$F,$D118,Verkäufe!$K:$K))</f>
        <v/>
      </c>
    </row>
    <row r="119" spans="4:7" x14ac:dyDescent="0.3">
      <c r="D119" t="str">
        <f>IF(Artikel!$B117="","",Artikel!$B117)</f>
        <v/>
      </c>
      <c r="E119" t="str">
        <f>IF($D119="","",SUMIF(Verkäufe!$F:$F,$D119,Verkäufe!$G:$G))</f>
        <v/>
      </c>
      <c r="F119" s="21" t="str">
        <f>IF($D119="","",SUMIF(Verkäufe!$F:$F,$D119,Verkäufe!$J:$J))</f>
        <v/>
      </c>
      <c r="G119" s="21" t="str">
        <f>IF($D119="","",SUMIF(Verkäufe!$F:$F,$D119,Verkäufe!$K:$K))</f>
        <v/>
      </c>
    </row>
    <row r="120" spans="4:7" x14ac:dyDescent="0.3">
      <c r="D120" t="str">
        <f>IF(Artikel!$B118="","",Artikel!$B118)</f>
        <v/>
      </c>
      <c r="E120" t="str">
        <f>IF($D120="","",SUMIF(Verkäufe!$F:$F,$D120,Verkäufe!$G:$G))</f>
        <v/>
      </c>
      <c r="F120" s="21" t="str">
        <f>IF($D120="","",SUMIF(Verkäufe!$F:$F,$D120,Verkäufe!$J:$J))</f>
        <v/>
      </c>
      <c r="G120" s="21" t="str">
        <f>IF($D120="","",SUMIF(Verkäufe!$F:$F,$D120,Verkäufe!$K:$K))</f>
        <v/>
      </c>
    </row>
    <row r="121" spans="4:7" x14ac:dyDescent="0.3">
      <c r="D121" t="str">
        <f>IF(Artikel!$B119="","",Artikel!$B119)</f>
        <v/>
      </c>
      <c r="E121" t="str">
        <f>IF($D121="","",SUMIF(Verkäufe!$F:$F,$D121,Verkäufe!$G:$G))</f>
        <v/>
      </c>
      <c r="F121" s="21" t="str">
        <f>IF($D121="","",SUMIF(Verkäufe!$F:$F,$D121,Verkäufe!$J:$J))</f>
        <v/>
      </c>
      <c r="G121" s="21" t="str">
        <f>IF($D121="","",SUMIF(Verkäufe!$F:$F,$D121,Verkäufe!$K:$K))</f>
        <v/>
      </c>
    </row>
    <row r="122" spans="4:7" x14ac:dyDescent="0.3">
      <c r="D122" t="str">
        <f>IF(Artikel!$B120="","",Artikel!$B120)</f>
        <v/>
      </c>
      <c r="E122" t="str">
        <f>IF($D122="","",SUMIF(Verkäufe!$F:$F,$D122,Verkäufe!$G:$G))</f>
        <v/>
      </c>
      <c r="F122" s="21" t="str">
        <f>IF($D122="","",SUMIF(Verkäufe!$F:$F,$D122,Verkäufe!$J:$J))</f>
        <v/>
      </c>
      <c r="G122" s="21" t="str">
        <f>IF($D122="","",SUMIF(Verkäufe!$F:$F,$D122,Verkäufe!$K:$K))</f>
        <v/>
      </c>
    </row>
    <row r="123" spans="4:7" x14ac:dyDescent="0.3">
      <c r="D123" t="str">
        <f>IF(Artikel!$B121="","",Artikel!$B121)</f>
        <v/>
      </c>
      <c r="E123" t="str">
        <f>IF($D123="","",SUMIF(Verkäufe!$F:$F,$D123,Verkäufe!$G:$G))</f>
        <v/>
      </c>
      <c r="F123" s="21" t="str">
        <f>IF($D123="","",SUMIF(Verkäufe!$F:$F,$D123,Verkäufe!$J:$J))</f>
        <v/>
      </c>
      <c r="G123" s="21" t="str">
        <f>IF($D123="","",SUMIF(Verkäufe!$F:$F,$D123,Verkäufe!$K:$K))</f>
        <v/>
      </c>
    </row>
    <row r="124" spans="4:7" x14ac:dyDescent="0.3">
      <c r="D124" t="str">
        <f>IF(Artikel!$B122="","",Artikel!$B122)</f>
        <v/>
      </c>
      <c r="E124" t="str">
        <f>IF($D124="","",SUMIF(Verkäufe!$F:$F,$D124,Verkäufe!$G:$G))</f>
        <v/>
      </c>
      <c r="F124" s="21" t="str">
        <f>IF($D124="","",SUMIF(Verkäufe!$F:$F,$D124,Verkäufe!$J:$J))</f>
        <v/>
      </c>
      <c r="G124" s="21" t="str">
        <f>IF($D124="","",SUMIF(Verkäufe!$F:$F,$D124,Verkäufe!$K:$K))</f>
        <v/>
      </c>
    </row>
    <row r="125" spans="4:7" x14ac:dyDescent="0.3">
      <c r="D125" t="str">
        <f>IF(Artikel!$B123="","",Artikel!$B123)</f>
        <v/>
      </c>
      <c r="E125" t="str">
        <f>IF($D125="","",SUMIF(Verkäufe!$F:$F,$D125,Verkäufe!$G:$G))</f>
        <v/>
      </c>
      <c r="F125" s="21" t="str">
        <f>IF($D125="","",SUMIF(Verkäufe!$F:$F,$D125,Verkäufe!$J:$J))</f>
        <v/>
      </c>
      <c r="G125" s="21" t="str">
        <f>IF($D125="","",SUMIF(Verkäufe!$F:$F,$D125,Verkäufe!$K:$K))</f>
        <v/>
      </c>
    </row>
    <row r="126" spans="4:7" x14ac:dyDescent="0.3">
      <c r="D126" t="str">
        <f>IF(Artikel!$B124="","",Artikel!$B124)</f>
        <v/>
      </c>
      <c r="E126" t="str">
        <f>IF($D126="","",SUMIF(Verkäufe!$F:$F,$D126,Verkäufe!$G:$G))</f>
        <v/>
      </c>
      <c r="F126" s="21" t="str">
        <f>IF($D126="","",SUMIF(Verkäufe!$F:$F,$D126,Verkäufe!$J:$J))</f>
        <v/>
      </c>
      <c r="G126" s="21" t="str">
        <f>IF($D126="","",SUMIF(Verkäufe!$F:$F,$D126,Verkäufe!$K:$K))</f>
        <v/>
      </c>
    </row>
    <row r="127" spans="4:7" x14ac:dyDescent="0.3">
      <c r="D127" t="str">
        <f>IF(Artikel!$B125="","",Artikel!$B125)</f>
        <v/>
      </c>
      <c r="E127" t="str">
        <f>IF($D127="","",SUMIF(Verkäufe!$F:$F,$D127,Verkäufe!$G:$G))</f>
        <v/>
      </c>
      <c r="F127" s="21" t="str">
        <f>IF($D127="","",SUMIF(Verkäufe!$F:$F,$D127,Verkäufe!$J:$J))</f>
        <v/>
      </c>
      <c r="G127" s="21" t="str">
        <f>IF($D127="","",SUMIF(Verkäufe!$F:$F,$D127,Verkäufe!$K:$K))</f>
        <v/>
      </c>
    </row>
    <row r="128" spans="4:7" x14ac:dyDescent="0.3">
      <c r="D128" t="str">
        <f>IF(Artikel!$B126="","",Artikel!$B126)</f>
        <v/>
      </c>
      <c r="E128" t="str">
        <f>IF($D128="","",SUMIF(Verkäufe!$F:$F,$D128,Verkäufe!$G:$G))</f>
        <v/>
      </c>
      <c r="F128" s="21" t="str">
        <f>IF($D128="","",SUMIF(Verkäufe!$F:$F,$D128,Verkäufe!$J:$J))</f>
        <v/>
      </c>
      <c r="G128" s="21" t="str">
        <f>IF($D128="","",SUMIF(Verkäufe!$F:$F,$D128,Verkäufe!$K:$K))</f>
        <v/>
      </c>
    </row>
    <row r="129" spans="4:7" x14ac:dyDescent="0.3">
      <c r="D129" t="str">
        <f>IF(Artikel!$B127="","",Artikel!$B127)</f>
        <v/>
      </c>
      <c r="E129" t="str">
        <f>IF($D129="","",SUMIF(Verkäufe!$F:$F,$D129,Verkäufe!$G:$G))</f>
        <v/>
      </c>
      <c r="F129" s="21" t="str">
        <f>IF($D129="","",SUMIF(Verkäufe!$F:$F,$D129,Verkäufe!$J:$J))</f>
        <v/>
      </c>
      <c r="G129" s="21" t="str">
        <f>IF($D129="","",SUMIF(Verkäufe!$F:$F,$D129,Verkäufe!$K:$K))</f>
        <v/>
      </c>
    </row>
    <row r="130" spans="4:7" x14ac:dyDescent="0.3">
      <c r="D130" t="str">
        <f>IF(Artikel!$B128="","",Artikel!$B128)</f>
        <v/>
      </c>
      <c r="E130" t="str">
        <f>IF($D130="","",SUMIF(Verkäufe!$F:$F,$D130,Verkäufe!$G:$G))</f>
        <v/>
      </c>
      <c r="F130" s="21" t="str">
        <f>IF($D130="","",SUMIF(Verkäufe!$F:$F,$D130,Verkäufe!$J:$J))</f>
        <v/>
      </c>
      <c r="G130" s="21" t="str">
        <f>IF($D130="","",SUMIF(Verkäufe!$F:$F,$D130,Verkäufe!$K:$K))</f>
        <v/>
      </c>
    </row>
    <row r="131" spans="4:7" x14ac:dyDescent="0.3">
      <c r="D131" t="str">
        <f>IF(Artikel!$B129="","",Artikel!$B129)</f>
        <v/>
      </c>
      <c r="E131" t="str">
        <f>IF($D131="","",SUMIF(Verkäufe!$F:$F,$D131,Verkäufe!$G:$G))</f>
        <v/>
      </c>
      <c r="F131" s="21" t="str">
        <f>IF($D131="","",SUMIF(Verkäufe!$F:$F,$D131,Verkäufe!$J:$J))</f>
        <v/>
      </c>
      <c r="G131" s="21" t="str">
        <f>IF($D131="","",SUMIF(Verkäufe!$F:$F,$D131,Verkäufe!$K:$K))</f>
        <v/>
      </c>
    </row>
    <row r="132" spans="4:7" x14ac:dyDescent="0.3">
      <c r="D132" t="str">
        <f>IF(Artikel!$B130="","",Artikel!$B130)</f>
        <v/>
      </c>
      <c r="E132" t="str">
        <f>IF($D132="","",SUMIF(Verkäufe!$F:$F,$D132,Verkäufe!$G:$G))</f>
        <v/>
      </c>
      <c r="F132" s="21" t="str">
        <f>IF($D132="","",SUMIF(Verkäufe!$F:$F,$D132,Verkäufe!$J:$J))</f>
        <v/>
      </c>
      <c r="G132" s="21" t="str">
        <f>IF($D132="","",SUMIF(Verkäufe!$F:$F,$D132,Verkäufe!$K:$K))</f>
        <v/>
      </c>
    </row>
    <row r="133" spans="4:7" x14ac:dyDescent="0.3">
      <c r="D133" t="str">
        <f>IF(Artikel!$B131="","",Artikel!$B131)</f>
        <v/>
      </c>
      <c r="E133" t="str">
        <f>IF($D133="","",SUMIF(Verkäufe!$F:$F,$D133,Verkäufe!$G:$G))</f>
        <v/>
      </c>
      <c r="F133" s="21" t="str">
        <f>IF($D133="","",SUMIF(Verkäufe!$F:$F,$D133,Verkäufe!$J:$J))</f>
        <v/>
      </c>
      <c r="G133" s="21" t="str">
        <f>IF($D133="","",SUMIF(Verkäufe!$F:$F,$D133,Verkäufe!$K:$K))</f>
        <v/>
      </c>
    </row>
    <row r="134" spans="4:7" x14ac:dyDescent="0.3">
      <c r="D134" t="str">
        <f>IF(Artikel!$B132="","",Artikel!$B132)</f>
        <v/>
      </c>
      <c r="E134" t="str">
        <f>IF($D134="","",SUMIF(Verkäufe!$F:$F,$D134,Verkäufe!$G:$G))</f>
        <v/>
      </c>
      <c r="F134" s="21" t="str">
        <f>IF($D134="","",SUMIF(Verkäufe!$F:$F,$D134,Verkäufe!$J:$J))</f>
        <v/>
      </c>
      <c r="G134" s="21" t="str">
        <f>IF($D134="","",SUMIF(Verkäufe!$F:$F,$D134,Verkäufe!$K:$K))</f>
        <v/>
      </c>
    </row>
    <row r="135" spans="4:7" x14ac:dyDescent="0.3">
      <c r="D135" t="str">
        <f>IF(Artikel!$B133="","",Artikel!$B133)</f>
        <v/>
      </c>
      <c r="E135" t="str">
        <f>IF($D135="","",SUMIF(Verkäufe!$F:$F,$D135,Verkäufe!$G:$G))</f>
        <v/>
      </c>
      <c r="F135" s="21" t="str">
        <f>IF($D135="","",SUMIF(Verkäufe!$F:$F,$D135,Verkäufe!$J:$J))</f>
        <v/>
      </c>
      <c r="G135" s="21" t="str">
        <f>IF($D135="","",SUMIF(Verkäufe!$F:$F,$D135,Verkäufe!$K:$K))</f>
        <v/>
      </c>
    </row>
    <row r="136" spans="4:7" x14ac:dyDescent="0.3">
      <c r="D136" t="str">
        <f>IF(Artikel!$B134="","",Artikel!$B134)</f>
        <v/>
      </c>
      <c r="E136" t="str">
        <f>IF($D136="","",SUMIF(Verkäufe!$F:$F,$D136,Verkäufe!$G:$G))</f>
        <v/>
      </c>
      <c r="F136" s="21" t="str">
        <f>IF($D136="","",SUMIF(Verkäufe!$F:$F,$D136,Verkäufe!$J:$J))</f>
        <v/>
      </c>
      <c r="G136" s="21" t="str">
        <f>IF($D136="","",SUMIF(Verkäufe!$F:$F,$D136,Verkäufe!$K:$K))</f>
        <v/>
      </c>
    </row>
    <row r="137" spans="4:7" x14ac:dyDescent="0.3">
      <c r="D137" t="str">
        <f>IF(Artikel!$B135="","",Artikel!$B135)</f>
        <v/>
      </c>
      <c r="E137" t="str">
        <f>IF($D137="","",SUMIF(Verkäufe!$F:$F,$D137,Verkäufe!$G:$G))</f>
        <v/>
      </c>
      <c r="F137" s="21" t="str">
        <f>IF($D137="","",SUMIF(Verkäufe!$F:$F,$D137,Verkäufe!$J:$J))</f>
        <v/>
      </c>
      <c r="G137" s="21" t="str">
        <f>IF($D137="","",SUMIF(Verkäufe!$F:$F,$D137,Verkäufe!$K:$K))</f>
        <v/>
      </c>
    </row>
    <row r="138" spans="4:7" x14ac:dyDescent="0.3">
      <c r="D138" t="str">
        <f>IF(Artikel!$B136="","",Artikel!$B136)</f>
        <v/>
      </c>
      <c r="E138" t="str">
        <f>IF($D138="","",SUMIF(Verkäufe!$F:$F,$D138,Verkäufe!$G:$G))</f>
        <v/>
      </c>
      <c r="F138" s="21" t="str">
        <f>IF($D138="","",SUMIF(Verkäufe!$F:$F,$D138,Verkäufe!$J:$J))</f>
        <v/>
      </c>
      <c r="G138" s="21" t="str">
        <f>IF($D138="","",SUMIF(Verkäufe!$F:$F,$D138,Verkäufe!$K:$K))</f>
        <v/>
      </c>
    </row>
    <row r="139" spans="4:7" x14ac:dyDescent="0.3">
      <c r="D139" t="str">
        <f>IF(Artikel!$B137="","",Artikel!$B137)</f>
        <v/>
      </c>
      <c r="E139" t="str">
        <f>IF($D139="","",SUMIF(Verkäufe!$F:$F,$D139,Verkäufe!$G:$G))</f>
        <v/>
      </c>
      <c r="F139" s="21" t="str">
        <f>IF($D139="","",SUMIF(Verkäufe!$F:$F,$D139,Verkäufe!$J:$J))</f>
        <v/>
      </c>
      <c r="G139" s="21" t="str">
        <f>IF($D139="","",SUMIF(Verkäufe!$F:$F,$D139,Verkäufe!$K:$K))</f>
        <v/>
      </c>
    </row>
    <row r="140" spans="4:7" x14ac:dyDescent="0.3">
      <c r="D140" t="str">
        <f>IF(Artikel!$B138="","",Artikel!$B138)</f>
        <v/>
      </c>
      <c r="E140" t="str">
        <f>IF($D140="","",SUMIF(Verkäufe!$F:$F,$D140,Verkäufe!$G:$G))</f>
        <v/>
      </c>
      <c r="F140" s="21" t="str">
        <f>IF($D140="","",SUMIF(Verkäufe!$F:$F,$D140,Verkäufe!$J:$J))</f>
        <v/>
      </c>
      <c r="G140" s="21" t="str">
        <f>IF($D140="","",SUMIF(Verkäufe!$F:$F,$D140,Verkäufe!$K:$K))</f>
        <v/>
      </c>
    </row>
    <row r="141" spans="4:7" x14ac:dyDescent="0.3">
      <c r="D141" t="str">
        <f>IF(Artikel!$B139="","",Artikel!$B139)</f>
        <v/>
      </c>
      <c r="E141" t="str">
        <f>IF($D141="","",SUMIF(Verkäufe!$F:$F,$D141,Verkäufe!$G:$G))</f>
        <v/>
      </c>
      <c r="F141" s="21" t="str">
        <f>IF($D141="","",SUMIF(Verkäufe!$F:$F,$D141,Verkäufe!$J:$J))</f>
        <v/>
      </c>
      <c r="G141" s="21" t="str">
        <f>IF($D141="","",SUMIF(Verkäufe!$F:$F,$D141,Verkäufe!$K:$K))</f>
        <v/>
      </c>
    </row>
    <row r="142" spans="4:7" x14ac:dyDescent="0.3">
      <c r="D142" t="str">
        <f>IF(Artikel!$B140="","",Artikel!$B140)</f>
        <v/>
      </c>
      <c r="E142" t="str">
        <f>IF($D142="","",SUMIF(Verkäufe!$F:$F,$D142,Verkäufe!$G:$G))</f>
        <v/>
      </c>
      <c r="F142" s="21" t="str">
        <f>IF($D142="","",SUMIF(Verkäufe!$F:$F,$D142,Verkäufe!$J:$J))</f>
        <v/>
      </c>
      <c r="G142" s="21" t="str">
        <f>IF($D142="","",SUMIF(Verkäufe!$F:$F,$D142,Verkäufe!$K:$K))</f>
        <v/>
      </c>
    </row>
    <row r="143" spans="4:7" x14ac:dyDescent="0.3">
      <c r="D143" t="str">
        <f>IF(Artikel!$B141="","",Artikel!$B141)</f>
        <v/>
      </c>
      <c r="E143" t="str">
        <f>IF($D143="","",SUMIF(Verkäufe!$F:$F,$D143,Verkäufe!$G:$G))</f>
        <v/>
      </c>
      <c r="F143" s="21" t="str">
        <f>IF($D143="","",SUMIF(Verkäufe!$F:$F,$D143,Verkäufe!$J:$J))</f>
        <v/>
      </c>
      <c r="G143" s="21" t="str">
        <f>IF($D143="","",SUMIF(Verkäufe!$F:$F,$D143,Verkäufe!$K:$K))</f>
        <v/>
      </c>
    </row>
    <row r="144" spans="4:7" x14ac:dyDescent="0.3">
      <c r="D144" t="str">
        <f>IF(Artikel!$B142="","",Artikel!$B142)</f>
        <v/>
      </c>
      <c r="E144" t="str">
        <f>IF($D144="","",SUMIF(Verkäufe!$F:$F,$D144,Verkäufe!$G:$G))</f>
        <v/>
      </c>
      <c r="F144" s="21" t="str">
        <f>IF($D144="","",SUMIF(Verkäufe!$F:$F,$D144,Verkäufe!$J:$J))</f>
        <v/>
      </c>
      <c r="G144" s="21" t="str">
        <f>IF($D144="","",SUMIF(Verkäufe!$F:$F,$D144,Verkäufe!$K:$K))</f>
        <v/>
      </c>
    </row>
    <row r="145" spans="4:7" x14ac:dyDescent="0.3">
      <c r="D145" t="str">
        <f>IF(Artikel!$B143="","",Artikel!$B143)</f>
        <v/>
      </c>
      <c r="E145" t="str">
        <f>IF($D145="","",SUMIF(Verkäufe!$F:$F,$D145,Verkäufe!$G:$G))</f>
        <v/>
      </c>
      <c r="F145" s="21" t="str">
        <f>IF($D145="","",SUMIF(Verkäufe!$F:$F,$D145,Verkäufe!$J:$J))</f>
        <v/>
      </c>
      <c r="G145" s="21" t="str">
        <f>IF($D145="","",SUMIF(Verkäufe!$F:$F,$D145,Verkäufe!$K:$K))</f>
        <v/>
      </c>
    </row>
    <row r="146" spans="4:7" x14ac:dyDescent="0.3">
      <c r="D146" t="str">
        <f>IF(Artikel!$B144="","",Artikel!$B144)</f>
        <v/>
      </c>
      <c r="E146" t="str">
        <f>IF($D146="","",SUMIF(Verkäufe!$F:$F,$D146,Verkäufe!$G:$G))</f>
        <v/>
      </c>
      <c r="F146" s="21" t="str">
        <f>IF($D146="","",SUMIF(Verkäufe!$F:$F,$D146,Verkäufe!$J:$J))</f>
        <v/>
      </c>
      <c r="G146" s="21" t="str">
        <f>IF($D146="","",SUMIF(Verkäufe!$F:$F,$D146,Verkäufe!$K:$K))</f>
        <v/>
      </c>
    </row>
    <row r="147" spans="4:7" x14ac:dyDescent="0.3">
      <c r="D147" t="str">
        <f>IF(Artikel!$B145="","",Artikel!$B145)</f>
        <v/>
      </c>
      <c r="E147" t="str">
        <f>IF($D147="","",SUMIF(Verkäufe!$F:$F,$D147,Verkäufe!$G:$G))</f>
        <v/>
      </c>
      <c r="F147" s="21" t="str">
        <f>IF($D147="","",SUMIF(Verkäufe!$F:$F,$D147,Verkäufe!$J:$J))</f>
        <v/>
      </c>
      <c r="G147" s="21" t="str">
        <f>IF($D147="","",SUMIF(Verkäufe!$F:$F,$D147,Verkäufe!$K:$K))</f>
        <v/>
      </c>
    </row>
    <row r="148" spans="4:7" x14ac:dyDescent="0.3">
      <c r="D148" t="str">
        <f>IF(Artikel!$B146="","",Artikel!$B146)</f>
        <v/>
      </c>
      <c r="E148" t="str">
        <f>IF($D148="","",SUMIF(Verkäufe!$F:$F,$D148,Verkäufe!$G:$G))</f>
        <v/>
      </c>
      <c r="F148" s="21" t="str">
        <f>IF($D148="","",SUMIF(Verkäufe!$F:$F,$D148,Verkäufe!$J:$J))</f>
        <v/>
      </c>
      <c r="G148" s="21" t="str">
        <f>IF($D148="","",SUMIF(Verkäufe!$F:$F,$D148,Verkäufe!$K:$K))</f>
        <v/>
      </c>
    </row>
    <row r="149" spans="4:7" x14ac:dyDescent="0.3">
      <c r="D149" t="str">
        <f>IF(Artikel!$B147="","",Artikel!$B147)</f>
        <v/>
      </c>
      <c r="E149" t="str">
        <f>IF($D149="","",SUMIF(Verkäufe!$F:$F,$D149,Verkäufe!$G:$G))</f>
        <v/>
      </c>
      <c r="F149" s="21" t="str">
        <f>IF($D149="","",SUMIF(Verkäufe!$F:$F,$D149,Verkäufe!$J:$J))</f>
        <v/>
      </c>
      <c r="G149" s="21" t="str">
        <f>IF($D149="","",SUMIF(Verkäufe!$F:$F,$D149,Verkäufe!$K:$K))</f>
        <v/>
      </c>
    </row>
    <row r="150" spans="4:7" x14ac:dyDescent="0.3">
      <c r="D150" t="str">
        <f>IF(Artikel!$B148="","",Artikel!$B148)</f>
        <v/>
      </c>
      <c r="E150" t="str">
        <f>IF($D150="","",SUMIF(Verkäufe!$F:$F,$D150,Verkäufe!$G:$G))</f>
        <v/>
      </c>
      <c r="F150" s="21" t="str">
        <f>IF($D150="","",SUMIF(Verkäufe!$F:$F,$D150,Verkäufe!$J:$J))</f>
        <v/>
      </c>
      <c r="G150" s="21" t="str">
        <f>IF($D150="","",SUMIF(Verkäufe!$F:$F,$D150,Verkäufe!$K:$K))</f>
        <v/>
      </c>
    </row>
    <row r="151" spans="4:7" x14ac:dyDescent="0.3">
      <c r="D151" t="str">
        <f>IF(Artikel!$B149="","",Artikel!$B149)</f>
        <v/>
      </c>
      <c r="E151" t="str">
        <f>IF($D151="","",SUMIF(Verkäufe!$F:$F,$D151,Verkäufe!$G:$G))</f>
        <v/>
      </c>
      <c r="F151" s="21" t="str">
        <f>IF($D151="","",SUMIF(Verkäufe!$F:$F,$D151,Verkäufe!$J:$J))</f>
        <v/>
      </c>
      <c r="G151" s="21" t="str">
        <f>IF($D151="","",SUMIF(Verkäufe!$F:$F,$D151,Verkäufe!$K:$K))</f>
        <v/>
      </c>
    </row>
    <row r="152" spans="4:7" x14ac:dyDescent="0.3">
      <c r="D152" t="str">
        <f>IF(Artikel!$B150="","",Artikel!$B150)</f>
        <v/>
      </c>
      <c r="E152" t="str">
        <f>IF($D152="","",SUMIF(Verkäufe!$F:$F,$D152,Verkäufe!$G:$G))</f>
        <v/>
      </c>
      <c r="F152" s="21" t="str">
        <f>IF($D152="","",SUMIF(Verkäufe!$F:$F,$D152,Verkäufe!$J:$J))</f>
        <v/>
      </c>
      <c r="G152" s="21" t="str">
        <f>IF($D152="","",SUMIF(Verkäufe!$F:$F,$D152,Verkäufe!$K:$K))</f>
        <v/>
      </c>
    </row>
    <row r="153" spans="4:7" x14ac:dyDescent="0.3">
      <c r="D153" t="str">
        <f>IF(Artikel!$B151="","",Artikel!$B151)</f>
        <v/>
      </c>
      <c r="E153" t="str">
        <f>IF($D153="","",SUMIF(Verkäufe!$F:$F,$D153,Verkäufe!$G:$G))</f>
        <v/>
      </c>
      <c r="F153" s="21" t="str">
        <f>IF($D153="","",SUMIF(Verkäufe!$F:$F,$D153,Verkäufe!$J:$J))</f>
        <v/>
      </c>
      <c r="G153" s="21" t="str">
        <f>IF($D153="","",SUMIF(Verkäufe!$F:$F,$D153,Verkäufe!$K:$K))</f>
        <v/>
      </c>
    </row>
    <row r="154" spans="4:7" x14ac:dyDescent="0.3">
      <c r="D154" t="str">
        <f>IF(Artikel!$B152="","",Artikel!$B152)</f>
        <v/>
      </c>
      <c r="E154" t="str">
        <f>IF($D154="","",SUMIF(Verkäufe!$F:$F,$D154,Verkäufe!$G:$G))</f>
        <v/>
      </c>
      <c r="F154" s="21" t="str">
        <f>IF($D154="","",SUMIF(Verkäufe!$F:$F,$D154,Verkäufe!$J:$J))</f>
        <v/>
      </c>
      <c r="G154" s="21" t="str">
        <f>IF($D154="","",SUMIF(Verkäufe!$F:$F,$D154,Verkäufe!$K:$K))</f>
        <v/>
      </c>
    </row>
    <row r="155" spans="4:7" x14ac:dyDescent="0.3">
      <c r="D155" t="str">
        <f>IF(Artikel!$B153="","",Artikel!$B153)</f>
        <v/>
      </c>
      <c r="E155" t="str">
        <f>IF($D155="","",SUMIF(Verkäufe!$F:$F,$D155,Verkäufe!$G:$G))</f>
        <v/>
      </c>
      <c r="F155" s="21" t="str">
        <f>IF($D155="","",SUMIF(Verkäufe!$F:$F,$D155,Verkäufe!$J:$J))</f>
        <v/>
      </c>
      <c r="G155" s="21" t="str">
        <f>IF($D155="","",SUMIF(Verkäufe!$F:$F,$D155,Verkäufe!$K:$K))</f>
        <v/>
      </c>
    </row>
    <row r="156" spans="4:7" x14ac:dyDescent="0.3">
      <c r="D156" t="str">
        <f>IF(Artikel!$B154="","",Artikel!$B154)</f>
        <v/>
      </c>
      <c r="E156" t="str">
        <f>IF($D156="","",SUMIF(Verkäufe!$F:$F,$D156,Verkäufe!$G:$G))</f>
        <v/>
      </c>
      <c r="F156" s="21" t="str">
        <f>IF($D156="","",SUMIF(Verkäufe!$F:$F,$D156,Verkäufe!$J:$J))</f>
        <v/>
      </c>
      <c r="G156" s="21" t="str">
        <f>IF($D156="","",SUMIF(Verkäufe!$F:$F,$D156,Verkäufe!$K:$K))</f>
        <v/>
      </c>
    </row>
    <row r="157" spans="4:7" x14ac:dyDescent="0.3">
      <c r="D157" t="str">
        <f>IF(Artikel!$B155="","",Artikel!$B155)</f>
        <v/>
      </c>
      <c r="E157" t="str">
        <f>IF($D157="","",SUMIF(Verkäufe!$F:$F,$D157,Verkäufe!$G:$G))</f>
        <v/>
      </c>
      <c r="F157" s="21" t="str">
        <f>IF($D157="","",SUMIF(Verkäufe!$F:$F,$D157,Verkäufe!$J:$J))</f>
        <v/>
      </c>
      <c r="G157" s="21" t="str">
        <f>IF($D157="","",SUMIF(Verkäufe!$F:$F,$D157,Verkäufe!$K:$K))</f>
        <v/>
      </c>
    </row>
    <row r="158" spans="4:7" x14ac:dyDescent="0.3">
      <c r="D158" t="str">
        <f>IF(Artikel!$B156="","",Artikel!$B156)</f>
        <v/>
      </c>
      <c r="E158" t="str">
        <f>IF($D158="","",SUMIF(Verkäufe!$F:$F,$D158,Verkäufe!$G:$G))</f>
        <v/>
      </c>
      <c r="F158" s="21" t="str">
        <f>IF($D158="","",SUMIF(Verkäufe!$F:$F,$D158,Verkäufe!$J:$J))</f>
        <v/>
      </c>
      <c r="G158" s="21" t="str">
        <f>IF($D158="","",SUMIF(Verkäufe!$F:$F,$D158,Verkäufe!$K:$K))</f>
        <v/>
      </c>
    </row>
    <row r="159" spans="4:7" x14ac:dyDescent="0.3">
      <c r="D159" t="str">
        <f>IF(Artikel!$B157="","",Artikel!$B157)</f>
        <v/>
      </c>
      <c r="E159" t="str">
        <f>IF($D159="","",SUMIF(Verkäufe!$F:$F,$D159,Verkäufe!$G:$G))</f>
        <v/>
      </c>
      <c r="F159" s="21" t="str">
        <f>IF($D159="","",SUMIF(Verkäufe!$F:$F,$D159,Verkäufe!$J:$J))</f>
        <v/>
      </c>
      <c r="G159" s="21" t="str">
        <f>IF($D159="","",SUMIF(Verkäufe!$F:$F,$D159,Verkäufe!$K:$K))</f>
        <v/>
      </c>
    </row>
    <row r="160" spans="4:7" x14ac:dyDescent="0.3">
      <c r="D160" t="str">
        <f>IF(Artikel!$B158="","",Artikel!$B158)</f>
        <v/>
      </c>
      <c r="E160" t="str">
        <f>IF($D160="","",SUMIF(Verkäufe!$F:$F,$D160,Verkäufe!$G:$G))</f>
        <v/>
      </c>
      <c r="F160" s="21" t="str">
        <f>IF($D160="","",SUMIF(Verkäufe!$F:$F,$D160,Verkäufe!$J:$J))</f>
        <v/>
      </c>
      <c r="G160" s="21" t="str">
        <f>IF($D160="","",SUMIF(Verkäufe!$F:$F,$D160,Verkäufe!$K:$K))</f>
        <v/>
      </c>
    </row>
    <row r="161" spans="4:7" x14ac:dyDescent="0.3">
      <c r="D161" t="str">
        <f>IF(Artikel!$B159="","",Artikel!$B159)</f>
        <v/>
      </c>
      <c r="E161" t="str">
        <f>IF($D161="","",SUMIF(Verkäufe!$F:$F,$D161,Verkäufe!$G:$G))</f>
        <v/>
      </c>
      <c r="F161" s="21" t="str">
        <f>IF($D161="","",SUMIF(Verkäufe!$F:$F,$D161,Verkäufe!$J:$J))</f>
        <v/>
      </c>
      <c r="G161" s="21" t="str">
        <f>IF($D161="","",SUMIF(Verkäufe!$F:$F,$D161,Verkäufe!$K:$K))</f>
        <v/>
      </c>
    </row>
    <row r="162" spans="4:7" x14ac:dyDescent="0.3">
      <c r="D162" t="str">
        <f>IF(Artikel!$B160="","",Artikel!$B160)</f>
        <v/>
      </c>
      <c r="E162" t="str">
        <f>IF($D162="","",SUMIF(Verkäufe!$F:$F,$D162,Verkäufe!$G:$G))</f>
        <v/>
      </c>
      <c r="F162" s="21" t="str">
        <f>IF($D162="","",SUMIF(Verkäufe!$F:$F,$D162,Verkäufe!$J:$J))</f>
        <v/>
      </c>
      <c r="G162" s="21" t="str">
        <f>IF($D162="","",SUMIF(Verkäufe!$F:$F,$D162,Verkäufe!$K:$K))</f>
        <v/>
      </c>
    </row>
    <row r="163" spans="4:7" x14ac:dyDescent="0.3">
      <c r="D163" t="str">
        <f>IF(Artikel!$B161="","",Artikel!$B161)</f>
        <v/>
      </c>
      <c r="E163" t="str">
        <f>IF($D163="","",SUMIF(Verkäufe!$F:$F,$D163,Verkäufe!$G:$G))</f>
        <v/>
      </c>
      <c r="F163" s="21" t="str">
        <f>IF($D163="","",SUMIF(Verkäufe!$F:$F,$D163,Verkäufe!$J:$J))</f>
        <v/>
      </c>
      <c r="G163" s="21" t="str">
        <f>IF($D163="","",SUMIF(Verkäufe!$F:$F,$D163,Verkäufe!$K:$K))</f>
        <v/>
      </c>
    </row>
    <row r="164" spans="4:7" x14ac:dyDescent="0.3">
      <c r="D164" t="str">
        <f>IF(Artikel!$B162="","",Artikel!$B162)</f>
        <v/>
      </c>
      <c r="E164" t="str">
        <f>IF($D164="","",SUMIF(Verkäufe!$F:$F,$D164,Verkäufe!$G:$G))</f>
        <v/>
      </c>
      <c r="F164" s="21" t="str">
        <f>IF($D164="","",SUMIF(Verkäufe!$F:$F,$D164,Verkäufe!$J:$J))</f>
        <v/>
      </c>
      <c r="G164" s="21" t="str">
        <f>IF($D164="","",SUMIF(Verkäufe!$F:$F,$D164,Verkäufe!$K:$K))</f>
        <v/>
      </c>
    </row>
    <row r="165" spans="4:7" x14ac:dyDescent="0.3">
      <c r="D165" t="str">
        <f>IF(Artikel!$B163="","",Artikel!$B163)</f>
        <v/>
      </c>
      <c r="E165" t="str">
        <f>IF($D165="","",SUMIF(Verkäufe!$F:$F,$D165,Verkäufe!$G:$G))</f>
        <v/>
      </c>
      <c r="F165" s="21" t="str">
        <f>IF($D165="","",SUMIF(Verkäufe!$F:$F,$D165,Verkäufe!$J:$J))</f>
        <v/>
      </c>
      <c r="G165" s="21" t="str">
        <f>IF($D165="","",SUMIF(Verkäufe!$F:$F,$D165,Verkäufe!$K:$K))</f>
        <v/>
      </c>
    </row>
    <row r="166" spans="4:7" x14ac:dyDescent="0.3">
      <c r="D166" t="str">
        <f>IF(Artikel!$B164="","",Artikel!$B164)</f>
        <v/>
      </c>
      <c r="E166" t="str">
        <f>IF($D166="","",SUMIF(Verkäufe!$F:$F,$D166,Verkäufe!$G:$G))</f>
        <v/>
      </c>
      <c r="F166" s="21" t="str">
        <f>IF($D166="","",SUMIF(Verkäufe!$F:$F,$D166,Verkäufe!$J:$J))</f>
        <v/>
      </c>
      <c r="G166" s="21" t="str">
        <f>IF($D166="","",SUMIF(Verkäufe!$F:$F,$D166,Verkäufe!$K:$K))</f>
        <v/>
      </c>
    </row>
    <row r="167" spans="4:7" x14ac:dyDescent="0.3">
      <c r="D167" t="str">
        <f>IF(Artikel!$B165="","",Artikel!$B165)</f>
        <v/>
      </c>
      <c r="E167" t="str">
        <f>IF($D167="","",SUMIF(Verkäufe!$F:$F,$D167,Verkäufe!$G:$G))</f>
        <v/>
      </c>
      <c r="F167" s="21" t="str">
        <f>IF($D167="","",SUMIF(Verkäufe!$F:$F,$D167,Verkäufe!$J:$J))</f>
        <v/>
      </c>
      <c r="G167" s="21" t="str">
        <f>IF($D167="","",SUMIF(Verkäufe!$F:$F,$D167,Verkäufe!$K:$K))</f>
        <v/>
      </c>
    </row>
    <row r="168" spans="4:7" x14ac:dyDescent="0.3">
      <c r="D168" t="str">
        <f>IF(Artikel!$B166="","",Artikel!$B166)</f>
        <v/>
      </c>
      <c r="E168" t="str">
        <f>IF($D168="","",SUMIF(Verkäufe!$F:$F,$D168,Verkäufe!$G:$G))</f>
        <v/>
      </c>
      <c r="F168" s="21" t="str">
        <f>IF($D168="","",SUMIF(Verkäufe!$F:$F,$D168,Verkäufe!$J:$J))</f>
        <v/>
      </c>
      <c r="G168" s="21" t="str">
        <f>IF($D168="","",SUMIF(Verkäufe!$F:$F,$D168,Verkäufe!$K:$K))</f>
        <v/>
      </c>
    </row>
    <row r="169" spans="4:7" x14ac:dyDescent="0.3">
      <c r="D169" t="str">
        <f>IF(Artikel!$B167="","",Artikel!$B167)</f>
        <v/>
      </c>
      <c r="E169" t="str">
        <f>IF($D169="","",SUMIF(Verkäufe!$F:$F,$D169,Verkäufe!$G:$G))</f>
        <v/>
      </c>
      <c r="F169" s="21" t="str">
        <f>IF($D169="","",SUMIF(Verkäufe!$F:$F,$D169,Verkäufe!$J:$J))</f>
        <v/>
      </c>
      <c r="G169" s="21" t="str">
        <f>IF($D169="","",SUMIF(Verkäufe!$F:$F,$D169,Verkäufe!$K:$K))</f>
        <v/>
      </c>
    </row>
    <row r="170" spans="4:7" x14ac:dyDescent="0.3">
      <c r="D170" t="str">
        <f>IF(Artikel!$B168="","",Artikel!$B168)</f>
        <v/>
      </c>
      <c r="E170" t="str">
        <f>IF($D170="","",SUMIF(Verkäufe!$F:$F,$D170,Verkäufe!$G:$G))</f>
        <v/>
      </c>
      <c r="F170" s="21" t="str">
        <f>IF($D170="","",SUMIF(Verkäufe!$F:$F,$D170,Verkäufe!$J:$J))</f>
        <v/>
      </c>
      <c r="G170" s="21" t="str">
        <f>IF($D170="","",SUMIF(Verkäufe!$F:$F,$D170,Verkäufe!$K:$K))</f>
        <v/>
      </c>
    </row>
    <row r="171" spans="4:7" x14ac:dyDescent="0.3">
      <c r="D171" t="str">
        <f>IF(Artikel!$B169="","",Artikel!$B169)</f>
        <v/>
      </c>
      <c r="E171" t="str">
        <f>IF($D171="","",SUMIF(Verkäufe!$F:$F,$D171,Verkäufe!$G:$G))</f>
        <v/>
      </c>
      <c r="F171" s="21" t="str">
        <f>IF($D171="","",SUMIF(Verkäufe!$F:$F,$D171,Verkäufe!$J:$J))</f>
        <v/>
      </c>
      <c r="G171" s="21" t="str">
        <f>IF($D171="","",SUMIF(Verkäufe!$F:$F,$D171,Verkäufe!$K:$K))</f>
        <v/>
      </c>
    </row>
    <row r="172" spans="4:7" x14ac:dyDescent="0.3">
      <c r="D172" t="str">
        <f>IF(Artikel!$B170="","",Artikel!$B170)</f>
        <v/>
      </c>
      <c r="E172" t="str">
        <f>IF($D172="","",SUMIF(Verkäufe!$F:$F,$D172,Verkäufe!$G:$G))</f>
        <v/>
      </c>
      <c r="F172" s="21" t="str">
        <f>IF($D172="","",SUMIF(Verkäufe!$F:$F,$D172,Verkäufe!$J:$J))</f>
        <v/>
      </c>
      <c r="G172" s="21" t="str">
        <f>IF($D172="","",SUMIF(Verkäufe!$F:$F,$D172,Verkäufe!$K:$K))</f>
        <v/>
      </c>
    </row>
    <row r="173" spans="4:7" x14ac:dyDescent="0.3">
      <c r="D173" t="str">
        <f>IF(Artikel!$B171="","",Artikel!$B171)</f>
        <v/>
      </c>
      <c r="E173" t="str">
        <f>IF($D173="","",SUMIF(Verkäufe!$F:$F,$D173,Verkäufe!$G:$G))</f>
        <v/>
      </c>
      <c r="F173" s="21" t="str">
        <f>IF($D173="","",SUMIF(Verkäufe!$F:$F,$D173,Verkäufe!$J:$J))</f>
        <v/>
      </c>
      <c r="G173" s="21" t="str">
        <f>IF($D173="","",SUMIF(Verkäufe!$F:$F,$D173,Verkäufe!$K:$K))</f>
        <v/>
      </c>
    </row>
    <row r="174" spans="4:7" x14ac:dyDescent="0.3">
      <c r="D174" t="str">
        <f>IF(Artikel!$B172="","",Artikel!$B172)</f>
        <v/>
      </c>
      <c r="E174" t="str">
        <f>IF($D174="","",SUMIF(Verkäufe!$F:$F,$D174,Verkäufe!$G:$G))</f>
        <v/>
      </c>
      <c r="F174" s="21" t="str">
        <f>IF($D174="","",SUMIF(Verkäufe!$F:$F,$D174,Verkäufe!$J:$J))</f>
        <v/>
      </c>
      <c r="G174" s="21" t="str">
        <f>IF($D174="","",SUMIF(Verkäufe!$F:$F,$D174,Verkäufe!$K:$K))</f>
        <v/>
      </c>
    </row>
    <row r="175" spans="4:7" x14ac:dyDescent="0.3">
      <c r="D175" t="str">
        <f>IF(Artikel!$B173="","",Artikel!$B173)</f>
        <v/>
      </c>
      <c r="E175" t="str">
        <f>IF($D175="","",SUMIF(Verkäufe!$F:$F,$D175,Verkäufe!$G:$G))</f>
        <v/>
      </c>
      <c r="F175" s="21" t="str">
        <f>IF($D175="","",SUMIF(Verkäufe!$F:$F,$D175,Verkäufe!$J:$J))</f>
        <v/>
      </c>
      <c r="G175" s="21" t="str">
        <f>IF($D175="","",SUMIF(Verkäufe!$F:$F,$D175,Verkäufe!$K:$K))</f>
        <v/>
      </c>
    </row>
    <row r="176" spans="4:7" x14ac:dyDescent="0.3">
      <c r="D176" t="str">
        <f>IF(Artikel!$B174="","",Artikel!$B174)</f>
        <v/>
      </c>
      <c r="E176" t="str">
        <f>IF($D176="","",SUMIF(Verkäufe!$F:$F,$D176,Verkäufe!$G:$G))</f>
        <v/>
      </c>
      <c r="F176" s="21" t="str">
        <f>IF($D176="","",SUMIF(Verkäufe!$F:$F,$D176,Verkäufe!$J:$J))</f>
        <v/>
      </c>
      <c r="G176" s="21" t="str">
        <f>IF($D176="","",SUMIF(Verkäufe!$F:$F,$D176,Verkäufe!$K:$K))</f>
        <v/>
      </c>
    </row>
    <row r="177" spans="4:7" x14ac:dyDescent="0.3">
      <c r="D177" t="str">
        <f>IF(Artikel!$B175="","",Artikel!$B175)</f>
        <v/>
      </c>
      <c r="E177" t="str">
        <f>IF($D177="","",SUMIF(Verkäufe!$F:$F,$D177,Verkäufe!$G:$G))</f>
        <v/>
      </c>
      <c r="F177" s="21" t="str">
        <f>IF($D177="","",SUMIF(Verkäufe!$F:$F,$D177,Verkäufe!$J:$J))</f>
        <v/>
      </c>
      <c r="G177" s="21" t="str">
        <f>IF($D177="","",SUMIF(Verkäufe!$F:$F,$D177,Verkäufe!$K:$K))</f>
        <v/>
      </c>
    </row>
    <row r="178" spans="4:7" x14ac:dyDescent="0.3">
      <c r="D178" t="str">
        <f>IF(Artikel!$B176="","",Artikel!$B176)</f>
        <v/>
      </c>
      <c r="E178" t="str">
        <f>IF($D178="","",SUMIF(Verkäufe!$F:$F,$D178,Verkäufe!$G:$G))</f>
        <v/>
      </c>
      <c r="F178" s="21" t="str">
        <f>IF($D178="","",SUMIF(Verkäufe!$F:$F,$D178,Verkäufe!$J:$J))</f>
        <v/>
      </c>
      <c r="G178" s="21" t="str">
        <f>IF($D178="","",SUMIF(Verkäufe!$F:$F,$D178,Verkäufe!$K:$K))</f>
        <v/>
      </c>
    </row>
    <row r="179" spans="4:7" x14ac:dyDescent="0.3">
      <c r="D179" t="str">
        <f>IF(Artikel!$B177="","",Artikel!$B177)</f>
        <v/>
      </c>
      <c r="E179" t="str">
        <f>IF($D179="","",SUMIF(Verkäufe!$F:$F,$D179,Verkäufe!$G:$G))</f>
        <v/>
      </c>
      <c r="F179" s="21" t="str">
        <f>IF($D179="","",SUMIF(Verkäufe!$F:$F,$D179,Verkäufe!$J:$J))</f>
        <v/>
      </c>
      <c r="G179" s="21" t="str">
        <f>IF($D179="","",SUMIF(Verkäufe!$F:$F,$D179,Verkäufe!$K:$K))</f>
        <v/>
      </c>
    </row>
    <row r="180" spans="4:7" x14ac:dyDescent="0.3">
      <c r="D180" t="str">
        <f>IF(Artikel!$B178="","",Artikel!$B178)</f>
        <v/>
      </c>
      <c r="E180" t="str">
        <f>IF($D180="","",SUMIF(Verkäufe!$F:$F,$D180,Verkäufe!$G:$G))</f>
        <v/>
      </c>
      <c r="F180" s="21" t="str">
        <f>IF($D180="","",SUMIF(Verkäufe!$F:$F,$D180,Verkäufe!$J:$J))</f>
        <v/>
      </c>
      <c r="G180" s="21" t="str">
        <f>IF($D180="","",SUMIF(Verkäufe!$F:$F,$D180,Verkäufe!$K:$K))</f>
        <v/>
      </c>
    </row>
    <row r="181" spans="4:7" x14ac:dyDescent="0.3">
      <c r="D181" t="str">
        <f>IF(Artikel!$B179="","",Artikel!$B179)</f>
        <v/>
      </c>
      <c r="E181" t="str">
        <f>IF($D181="","",SUMIF(Verkäufe!$F:$F,$D181,Verkäufe!$G:$G))</f>
        <v/>
      </c>
      <c r="F181" s="21" t="str">
        <f>IF($D181="","",SUMIF(Verkäufe!$F:$F,$D181,Verkäufe!$J:$J))</f>
        <v/>
      </c>
      <c r="G181" s="21" t="str">
        <f>IF($D181="","",SUMIF(Verkäufe!$F:$F,$D181,Verkäufe!$K:$K))</f>
        <v/>
      </c>
    </row>
    <row r="182" spans="4:7" x14ac:dyDescent="0.3">
      <c r="D182" t="str">
        <f>IF(Artikel!$B180="","",Artikel!$B180)</f>
        <v/>
      </c>
      <c r="E182" t="str">
        <f>IF($D182="","",SUMIF(Verkäufe!$F:$F,$D182,Verkäufe!$G:$G))</f>
        <v/>
      </c>
      <c r="F182" s="21" t="str">
        <f>IF($D182="","",SUMIF(Verkäufe!$F:$F,$D182,Verkäufe!$J:$J))</f>
        <v/>
      </c>
      <c r="G182" s="21" t="str">
        <f>IF($D182="","",SUMIF(Verkäufe!$F:$F,$D182,Verkäufe!$K:$K))</f>
        <v/>
      </c>
    </row>
    <row r="183" spans="4:7" x14ac:dyDescent="0.3">
      <c r="D183" t="str">
        <f>IF(Artikel!$B181="","",Artikel!$B181)</f>
        <v/>
      </c>
      <c r="E183" t="str">
        <f>IF($D183="","",SUMIF(Verkäufe!$F:$F,$D183,Verkäufe!$G:$G))</f>
        <v/>
      </c>
      <c r="F183" s="21" t="str">
        <f>IF($D183="","",SUMIF(Verkäufe!$F:$F,$D183,Verkäufe!$J:$J))</f>
        <v/>
      </c>
      <c r="G183" s="21" t="str">
        <f>IF($D183="","",SUMIF(Verkäufe!$F:$F,$D183,Verkäufe!$K:$K))</f>
        <v/>
      </c>
    </row>
    <row r="184" spans="4:7" x14ac:dyDescent="0.3">
      <c r="D184" t="str">
        <f>IF(Artikel!$B182="","",Artikel!$B182)</f>
        <v/>
      </c>
      <c r="E184" t="str">
        <f>IF($D184="","",SUMIF(Verkäufe!$F:$F,$D184,Verkäufe!$G:$G))</f>
        <v/>
      </c>
      <c r="F184" s="21" t="str">
        <f>IF($D184="","",SUMIF(Verkäufe!$F:$F,$D184,Verkäufe!$J:$J))</f>
        <v/>
      </c>
      <c r="G184" s="21" t="str">
        <f>IF($D184="","",SUMIF(Verkäufe!$F:$F,$D184,Verkäufe!$K:$K))</f>
        <v/>
      </c>
    </row>
    <row r="185" spans="4:7" x14ac:dyDescent="0.3">
      <c r="D185" t="str">
        <f>IF(Artikel!$B183="","",Artikel!$B183)</f>
        <v/>
      </c>
      <c r="E185" t="str">
        <f>IF($D185="","",SUMIF(Verkäufe!$F:$F,$D185,Verkäufe!$G:$G))</f>
        <v/>
      </c>
      <c r="F185" s="21" t="str">
        <f>IF($D185="","",SUMIF(Verkäufe!$F:$F,$D185,Verkäufe!$J:$J))</f>
        <v/>
      </c>
      <c r="G185" s="21" t="str">
        <f>IF($D185="","",SUMIF(Verkäufe!$F:$F,$D185,Verkäufe!$K:$K))</f>
        <v/>
      </c>
    </row>
    <row r="186" spans="4:7" x14ac:dyDescent="0.3">
      <c r="D186" t="str">
        <f>IF(Artikel!$B184="","",Artikel!$B184)</f>
        <v/>
      </c>
      <c r="E186" t="str">
        <f>IF($D186="","",SUMIF(Verkäufe!$F:$F,$D186,Verkäufe!$G:$G))</f>
        <v/>
      </c>
      <c r="F186" s="21" t="str">
        <f>IF($D186="","",SUMIF(Verkäufe!$F:$F,$D186,Verkäufe!$J:$J))</f>
        <v/>
      </c>
      <c r="G186" s="21" t="str">
        <f>IF($D186="","",SUMIF(Verkäufe!$F:$F,$D186,Verkäufe!$K:$K))</f>
        <v/>
      </c>
    </row>
    <row r="187" spans="4:7" x14ac:dyDescent="0.3">
      <c r="D187" t="str">
        <f>IF(Artikel!$B185="","",Artikel!$B185)</f>
        <v/>
      </c>
      <c r="E187" t="str">
        <f>IF($D187="","",SUMIF(Verkäufe!$F:$F,$D187,Verkäufe!$G:$G))</f>
        <v/>
      </c>
      <c r="F187" s="21" t="str">
        <f>IF($D187="","",SUMIF(Verkäufe!$F:$F,$D187,Verkäufe!$J:$J))</f>
        <v/>
      </c>
      <c r="G187" s="21" t="str">
        <f>IF($D187="","",SUMIF(Verkäufe!$F:$F,$D187,Verkäufe!$K:$K))</f>
        <v/>
      </c>
    </row>
    <row r="188" spans="4:7" x14ac:dyDescent="0.3">
      <c r="D188" t="str">
        <f>IF(Artikel!$B186="","",Artikel!$B186)</f>
        <v/>
      </c>
      <c r="E188" t="str">
        <f>IF($D188="","",SUMIF(Verkäufe!$F:$F,$D188,Verkäufe!$G:$G))</f>
        <v/>
      </c>
      <c r="F188" s="21" t="str">
        <f>IF($D188="","",SUMIF(Verkäufe!$F:$F,$D188,Verkäufe!$J:$J))</f>
        <v/>
      </c>
      <c r="G188" s="21" t="str">
        <f>IF($D188="","",SUMIF(Verkäufe!$F:$F,$D188,Verkäufe!$K:$K))</f>
        <v/>
      </c>
    </row>
    <row r="189" spans="4:7" x14ac:dyDescent="0.3">
      <c r="D189" t="str">
        <f>IF(Artikel!$B187="","",Artikel!$B187)</f>
        <v/>
      </c>
      <c r="E189" t="str">
        <f>IF($D189="","",SUMIF(Verkäufe!$F:$F,$D189,Verkäufe!$G:$G))</f>
        <v/>
      </c>
      <c r="F189" s="21" t="str">
        <f>IF($D189="","",SUMIF(Verkäufe!$F:$F,$D189,Verkäufe!$J:$J))</f>
        <v/>
      </c>
      <c r="G189" s="21" t="str">
        <f>IF($D189="","",SUMIF(Verkäufe!$F:$F,$D189,Verkäufe!$K:$K))</f>
        <v/>
      </c>
    </row>
    <row r="190" spans="4:7" x14ac:dyDescent="0.3">
      <c r="D190" t="str">
        <f>IF(Artikel!$B188="","",Artikel!$B188)</f>
        <v/>
      </c>
      <c r="E190" t="str">
        <f>IF($D190="","",SUMIF(Verkäufe!$F:$F,$D190,Verkäufe!$G:$G))</f>
        <v/>
      </c>
      <c r="F190" s="21" t="str">
        <f>IF($D190="","",SUMIF(Verkäufe!$F:$F,$D190,Verkäufe!$J:$J))</f>
        <v/>
      </c>
      <c r="G190" s="21" t="str">
        <f>IF($D190="","",SUMIF(Verkäufe!$F:$F,$D190,Verkäufe!$K:$K))</f>
        <v/>
      </c>
    </row>
    <row r="191" spans="4:7" x14ac:dyDescent="0.3">
      <c r="D191" t="str">
        <f>IF(Artikel!$B189="","",Artikel!$B189)</f>
        <v/>
      </c>
      <c r="E191" t="str">
        <f>IF($D191="","",SUMIF(Verkäufe!$F:$F,$D191,Verkäufe!$G:$G))</f>
        <v/>
      </c>
      <c r="F191" s="21" t="str">
        <f>IF($D191="","",SUMIF(Verkäufe!$F:$F,$D191,Verkäufe!$J:$J))</f>
        <v/>
      </c>
      <c r="G191" s="21" t="str">
        <f>IF($D191="","",SUMIF(Verkäufe!$F:$F,$D191,Verkäufe!$K:$K))</f>
        <v/>
      </c>
    </row>
    <row r="192" spans="4:7" x14ac:dyDescent="0.3">
      <c r="D192" t="str">
        <f>IF(Artikel!$B190="","",Artikel!$B190)</f>
        <v/>
      </c>
      <c r="E192" t="str">
        <f>IF($D192="","",SUMIF(Verkäufe!$F:$F,$D192,Verkäufe!$G:$G))</f>
        <v/>
      </c>
      <c r="F192" s="21" t="str">
        <f>IF($D192="","",SUMIF(Verkäufe!$F:$F,$D192,Verkäufe!$J:$J))</f>
        <v/>
      </c>
      <c r="G192" s="21" t="str">
        <f>IF($D192="","",SUMIF(Verkäufe!$F:$F,$D192,Verkäufe!$K:$K))</f>
        <v/>
      </c>
    </row>
    <row r="193" spans="4:7" x14ac:dyDescent="0.3">
      <c r="D193" t="str">
        <f>IF(Artikel!$B191="","",Artikel!$B191)</f>
        <v/>
      </c>
      <c r="E193" t="str">
        <f>IF($D193="","",SUMIF(Verkäufe!$F:$F,$D193,Verkäufe!$G:$G))</f>
        <v/>
      </c>
      <c r="F193" s="21" t="str">
        <f>IF($D193="","",SUMIF(Verkäufe!$F:$F,$D193,Verkäufe!$J:$J))</f>
        <v/>
      </c>
      <c r="G193" s="21" t="str">
        <f>IF($D193="","",SUMIF(Verkäufe!$F:$F,$D193,Verkäufe!$K:$K))</f>
        <v/>
      </c>
    </row>
    <row r="194" spans="4:7" x14ac:dyDescent="0.3">
      <c r="D194" t="str">
        <f>IF(Artikel!$B192="","",Artikel!$B192)</f>
        <v/>
      </c>
      <c r="E194" t="str">
        <f>IF($D194="","",SUMIF(Verkäufe!$F:$F,$D194,Verkäufe!$G:$G))</f>
        <v/>
      </c>
      <c r="F194" s="21" t="str">
        <f>IF($D194="","",SUMIF(Verkäufe!$F:$F,$D194,Verkäufe!$J:$J))</f>
        <v/>
      </c>
      <c r="G194" s="21" t="str">
        <f>IF($D194="","",SUMIF(Verkäufe!$F:$F,$D194,Verkäufe!$K:$K))</f>
        <v/>
      </c>
    </row>
    <row r="195" spans="4:7" x14ac:dyDescent="0.3">
      <c r="D195" t="str">
        <f>IF(Artikel!$B193="","",Artikel!$B193)</f>
        <v/>
      </c>
      <c r="E195" t="str">
        <f>IF($D195="","",SUMIF(Verkäufe!$F:$F,$D195,Verkäufe!$G:$G))</f>
        <v/>
      </c>
      <c r="F195" s="21" t="str">
        <f>IF($D195="","",SUMIF(Verkäufe!$F:$F,$D195,Verkäufe!$J:$J))</f>
        <v/>
      </c>
      <c r="G195" s="21" t="str">
        <f>IF($D195="","",SUMIF(Verkäufe!$F:$F,$D195,Verkäufe!$K:$K))</f>
        <v/>
      </c>
    </row>
    <row r="196" spans="4:7" x14ac:dyDescent="0.3">
      <c r="D196" t="str">
        <f>IF(Artikel!$B194="","",Artikel!$B194)</f>
        <v/>
      </c>
      <c r="E196" t="str">
        <f>IF($D196="","",SUMIF(Verkäufe!$F:$F,$D196,Verkäufe!$G:$G))</f>
        <v/>
      </c>
      <c r="F196" s="21" t="str">
        <f>IF($D196="","",SUMIF(Verkäufe!$F:$F,$D196,Verkäufe!$J:$J))</f>
        <v/>
      </c>
      <c r="G196" s="21" t="str">
        <f>IF($D196="","",SUMIF(Verkäufe!$F:$F,$D196,Verkäufe!$K:$K))</f>
        <v/>
      </c>
    </row>
    <row r="197" spans="4:7" x14ac:dyDescent="0.3">
      <c r="D197" t="str">
        <f>IF(Artikel!$B195="","",Artikel!$B195)</f>
        <v/>
      </c>
      <c r="E197" t="str">
        <f>IF($D197="","",SUMIF(Verkäufe!$F:$F,$D197,Verkäufe!$G:$G))</f>
        <v/>
      </c>
      <c r="F197" s="21" t="str">
        <f>IF($D197="","",SUMIF(Verkäufe!$F:$F,$D197,Verkäufe!$J:$J))</f>
        <v/>
      </c>
      <c r="G197" s="21" t="str">
        <f>IF($D197="","",SUMIF(Verkäufe!$F:$F,$D197,Verkäufe!$K:$K))</f>
        <v/>
      </c>
    </row>
    <row r="198" spans="4:7" x14ac:dyDescent="0.3">
      <c r="D198" t="str">
        <f>IF(Artikel!$B196="","",Artikel!$B196)</f>
        <v/>
      </c>
      <c r="E198" t="str">
        <f>IF($D198="","",SUMIF(Verkäufe!$F:$F,$D198,Verkäufe!$G:$G))</f>
        <v/>
      </c>
      <c r="F198" s="21" t="str">
        <f>IF($D198="","",SUMIF(Verkäufe!$F:$F,$D198,Verkäufe!$J:$J))</f>
        <v/>
      </c>
      <c r="G198" s="21" t="str">
        <f>IF($D198="","",SUMIF(Verkäufe!$F:$F,$D198,Verkäufe!$K:$K))</f>
        <v/>
      </c>
    </row>
    <row r="199" spans="4:7" x14ac:dyDescent="0.3">
      <c r="D199" t="str">
        <f>IF(Artikel!$B197="","",Artikel!$B197)</f>
        <v/>
      </c>
      <c r="E199" t="str">
        <f>IF($D199="","",SUMIF(Verkäufe!$F:$F,$D199,Verkäufe!$G:$G))</f>
        <v/>
      </c>
      <c r="F199" s="21" t="str">
        <f>IF($D199="","",SUMIF(Verkäufe!$F:$F,$D199,Verkäufe!$J:$J))</f>
        <v/>
      </c>
      <c r="G199" s="21" t="str">
        <f>IF($D199="","",SUMIF(Verkäufe!$F:$F,$D199,Verkäufe!$K:$K))</f>
        <v/>
      </c>
    </row>
    <row r="200" spans="4:7" x14ac:dyDescent="0.3">
      <c r="D200" t="str">
        <f>IF(Artikel!$B198="","",Artikel!$B198)</f>
        <v/>
      </c>
      <c r="E200" t="str">
        <f>IF($D200="","",SUMIF(Verkäufe!$F:$F,$D200,Verkäufe!$G:$G))</f>
        <v/>
      </c>
      <c r="F200" s="21" t="str">
        <f>IF($D200="","",SUMIF(Verkäufe!$F:$F,$D200,Verkäufe!$J:$J))</f>
        <v/>
      </c>
      <c r="G200" s="21" t="str">
        <f>IF($D200="","",SUMIF(Verkäufe!$F:$F,$D200,Verkäufe!$K:$K))</f>
        <v/>
      </c>
    </row>
    <row r="201" spans="4:7" x14ac:dyDescent="0.3">
      <c r="D201" t="str">
        <f>IF(Artikel!$B199="","",Artikel!$B199)</f>
        <v/>
      </c>
      <c r="E201" t="str">
        <f>IF($D201="","",SUMIF(Verkäufe!$F:$F,$D201,Verkäufe!$G:$G))</f>
        <v/>
      </c>
      <c r="F201" s="21" t="str">
        <f>IF($D201="","",SUMIF(Verkäufe!$F:$F,$D201,Verkäufe!$J:$J))</f>
        <v/>
      </c>
      <c r="G201" s="21" t="str">
        <f>IF($D201="","",SUMIF(Verkäufe!$F:$F,$D201,Verkäufe!$K:$K))</f>
        <v/>
      </c>
    </row>
    <row r="202" spans="4:7" x14ac:dyDescent="0.3">
      <c r="D202" t="str">
        <f>IF(Artikel!$B200="","",Artikel!$B200)</f>
        <v/>
      </c>
      <c r="E202" t="str">
        <f>IF($D202="","",SUMIF(Verkäufe!$F:$F,$D202,Verkäufe!$G:$G))</f>
        <v/>
      </c>
      <c r="F202" s="21" t="str">
        <f>IF($D202="","",SUMIF(Verkäufe!$F:$F,$D202,Verkäufe!$J:$J))</f>
        <v/>
      </c>
      <c r="G202" s="21" t="str">
        <f>IF($D202="","",SUMIF(Verkäufe!$F:$F,$D202,Verkäufe!$K:$K))</f>
        <v/>
      </c>
    </row>
    <row r="203" spans="4:7" x14ac:dyDescent="0.3">
      <c r="D203" t="str">
        <f>IF(Artikel!$B201="","",Artikel!$B201)</f>
        <v/>
      </c>
      <c r="E203" t="str">
        <f>IF($D203="","",SUMIF(Verkäufe!$F:$F,$D203,Verkäufe!$G:$G))</f>
        <v/>
      </c>
      <c r="F203" s="21" t="str">
        <f>IF($D203="","",SUMIF(Verkäufe!$F:$F,$D203,Verkäufe!$J:$J))</f>
        <v/>
      </c>
      <c r="G203" s="21" t="str">
        <f>IF($D203="","",SUMIF(Verkäufe!$F:$F,$D203,Verkäufe!$K:$K))</f>
        <v/>
      </c>
    </row>
    <row r="204" spans="4:7" x14ac:dyDescent="0.3">
      <c r="D204" t="str">
        <f>IF(Artikel!$B202="","",Artikel!$B202)</f>
        <v/>
      </c>
      <c r="E204" t="str">
        <f>IF($D204="","",SUMIF(Verkäufe!$F:$F,$D204,Verkäufe!$G:$G))</f>
        <v/>
      </c>
      <c r="F204" s="21" t="str">
        <f>IF($D204="","",SUMIF(Verkäufe!$F:$F,$D204,Verkäufe!$J:$J))</f>
        <v/>
      </c>
      <c r="G204" s="21" t="str">
        <f>IF($D204="","",SUMIF(Verkäufe!$F:$F,$D204,Verkäufe!$K:$K))</f>
        <v/>
      </c>
    </row>
    <row r="205" spans="4:7" x14ac:dyDescent="0.3">
      <c r="D205" t="str">
        <f>IF(Artikel!$B203="","",Artikel!$B203)</f>
        <v/>
      </c>
      <c r="E205" t="str">
        <f>IF($D205="","",SUMIF(Verkäufe!$F:$F,$D205,Verkäufe!$G:$G))</f>
        <v/>
      </c>
      <c r="F205" s="21" t="str">
        <f>IF($D205="","",SUMIF(Verkäufe!$F:$F,$D205,Verkäufe!$J:$J))</f>
        <v/>
      </c>
      <c r="G205" s="21" t="str">
        <f>IF($D205="","",SUMIF(Verkäufe!$F:$F,$D205,Verkäufe!$K:$K))</f>
        <v/>
      </c>
    </row>
    <row r="206" spans="4:7" x14ac:dyDescent="0.3">
      <c r="D206" t="str">
        <f>IF(Artikel!$B204="","",Artikel!$B204)</f>
        <v/>
      </c>
      <c r="E206" t="str">
        <f>IF($D206="","",SUMIF(Verkäufe!$F:$F,$D206,Verkäufe!$G:$G))</f>
        <v/>
      </c>
      <c r="F206" s="21" t="str">
        <f>IF($D206="","",SUMIF(Verkäufe!$F:$F,$D206,Verkäufe!$J:$J))</f>
        <v/>
      </c>
      <c r="G206" s="21" t="str">
        <f>IF($D206="","",SUMIF(Verkäufe!$F:$F,$D206,Verkäufe!$K:$K))</f>
        <v/>
      </c>
    </row>
    <row r="207" spans="4:7" x14ac:dyDescent="0.3">
      <c r="D207" t="str">
        <f>IF(Artikel!$B205="","",Artikel!$B205)</f>
        <v/>
      </c>
      <c r="E207" t="str">
        <f>IF($D207="","",SUMIF(Verkäufe!$F:$F,$D207,Verkäufe!$G:$G))</f>
        <v/>
      </c>
      <c r="F207" s="21" t="str">
        <f>IF($D207="","",SUMIF(Verkäufe!$F:$F,$D207,Verkäufe!$J:$J))</f>
        <v/>
      </c>
      <c r="G207" s="21" t="str">
        <f>IF($D207="","",SUMIF(Verkäufe!$F:$F,$D207,Verkäufe!$K:$K))</f>
        <v/>
      </c>
    </row>
    <row r="208" spans="4:7" x14ac:dyDescent="0.3">
      <c r="D208" t="str">
        <f>IF(Artikel!$B206="","",Artikel!$B206)</f>
        <v/>
      </c>
      <c r="E208" t="str">
        <f>IF($D208="","",SUMIF(Verkäufe!$F:$F,$D208,Verkäufe!$G:$G))</f>
        <v/>
      </c>
      <c r="F208" s="21" t="str">
        <f>IF($D208="","",SUMIF(Verkäufe!$F:$F,$D208,Verkäufe!$J:$J))</f>
        <v/>
      </c>
      <c r="G208" s="21" t="str">
        <f>IF($D208="","",SUMIF(Verkäufe!$F:$F,$D208,Verkäufe!$K:$K))</f>
        <v/>
      </c>
    </row>
    <row r="209" spans="4:7" x14ac:dyDescent="0.3">
      <c r="D209" t="str">
        <f>IF(Artikel!$B207="","",Artikel!$B207)</f>
        <v/>
      </c>
      <c r="E209" t="str">
        <f>IF($D209="","",SUMIF(Verkäufe!$F:$F,$D209,Verkäufe!$G:$G))</f>
        <v/>
      </c>
      <c r="F209" s="21" t="str">
        <f>IF($D209="","",SUMIF(Verkäufe!$F:$F,$D209,Verkäufe!$J:$J))</f>
        <v/>
      </c>
      <c r="G209" s="21" t="str">
        <f>IF($D209="","",SUMIF(Verkäufe!$F:$F,$D209,Verkäufe!$K:$K))</f>
        <v/>
      </c>
    </row>
    <row r="210" spans="4:7" x14ac:dyDescent="0.3">
      <c r="D210" t="str">
        <f>IF(Artikel!$B208="","",Artikel!$B208)</f>
        <v/>
      </c>
      <c r="E210" t="str">
        <f>IF($D210="","",SUMIF(Verkäufe!$F:$F,$D210,Verkäufe!$G:$G))</f>
        <v/>
      </c>
      <c r="F210" s="21" t="str">
        <f>IF($D210="","",SUMIF(Verkäufe!$F:$F,$D210,Verkäufe!$J:$J))</f>
        <v/>
      </c>
      <c r="G210" s="21" t="str">
        <f>IF($D210="","",SUMIF(Verkäufe!$F:$F,$D210,Verkäufe!$K:$K))</f>
        <v/>
      </c>
    </row>
    <row r="211" spans="4:7" x14ac:dyDescent="0.3">
      <c r="D211" t="str">
        <f>IF(Artikel!$B209="","",Artikel!$B209)</f>
        <v/>
      </c>
      <c r="E211" t="str">
        <f>IF($D211="","",SUMIF(Verkäufe!$F:$F,$D211,Verkäufe!$G:$G))</f>
        <v/>
      </c>
      <c r="F211" s="21" t="str">
        <f>IF($D211="","",SUMIF(Verkäufe!$F:$F,$D211,Verkäufe!$J:$J))</f>
        <v/>
      </c>
      <c r="G211" s="21" t="str">
        <f>IF($D211="","",SUMIF(Verkäufe!$F:$F,$D211,Verkäufe!$K:$K))</f>
        <v/>
      </c>
    </row>
    <row r="212" spans="4:7" x14ac:dyDescent="0.3">
      <c r="D212" t="str">
        <f>IF(Artikel!$B210="","",Artikel!$B210)</f>
        <v/>
      </c>
      <c r="E212" t="str">
        <f>IF($D212="","",SUMIF(Verkäufe!$F:$F,$D212,Verkäufe!$G:$G))</f>
        <v/>
      </c>
      <c r="F212" s="21" t="str">
        <f>IF($D212="","",SUMIF(Verkäufe!$F:$F,$D212,Verkäufe!$J:$J))</f>
        <v/>
      </c>
      <c r="G212" s="21" t="str">
        <f>IF($D212="","",SUMIF(Verkäufe!$F:$F,$D212,Verkäufe!$K:$K))</f>
        <v/>
      </c>
    </row>
    <row r="213" spans="4:7" x14ac:dyDescent="0.3">
      <c r="D213" t="str">
        <f>IF(Artikel!$B211="","",Artikel!$B211)</f>
        <v/>
      </c>
      <c r="E213" t="str">
        <f>IF($D213="","",SUMIF(Verkäufe!$F:$F,$D213,Verkäufe!$G:$G))</f>
        <v/>
      </c>
      <c r="F213" s="21" t="str">
        <f>IF($D213="","",SUMIF(Verkäufe!$F:$F,$D213,Verkäufe!$J:$J))</f>
        <v/>
      </c>
      <c r="G213" s="21" t="str">
        <f>IF($D213="","",SUMIF(Verkäufe!$F:$F,$D213,Verkäufe!$K:$K))</f>
        <v/>
      </c>
    </row>
    <row r="214" spans="4:7" x14ac:dyDescent="0.3">
      <c r="D214" t="str">
        <f>IF(Artikel!$B212="","",Artikel!$B212)</f>
        <v/>
      </c>
      <c r="E214" t="str">
        <f>IF($D214="","",SUMIF(Verkäufe!$F:$F,$D214,Verkäufe!$G:$G))</f>
        <v/>
      </c>
      <c r="F214" s="21" t="str">
        <f>IF($D214="","",SUMIF(Verkäufe!$F:$F,$D214,Verkäufe!$J:$J))</f>
        <v/>
      </c>
      <c r="G214" s="21" t="str">
        <f>IF($D214="","",SUMIF(Verkäufe!$F:$F,$D214,Verkäufe!$K:$K))</f>
        <v/>
      </c>
    </row>
    <row r="215" spans="4:7" x14ac:dyDescent="0.3">
      <c r="D215" t="str">
        <f>IF(Artikel!$B213="","",Artikel!$B213)</f>
        <v/>
      </c>
      <c r="E215" t="str">
        <f>IF($D215="","",SUMIF(Verkäufe!$F:$F,$D215,Verkäufe!$G:$G))</f>
        <v/>
      </c>
      <c r="F215" s="21" t="str">
        <f>IF($D215="","",SUMIF(Verkäufe!$F:$F,$D215,Verkäufe!$J:$J))</f>
        <v/>
      </c>
      <c r="G215" s="21" t="str">
        <f>IF($D215="","",SUMIF(Verkäufe!$F:$F,$D215,Verkäufe!$K:$K))</f>
        <v/>
      </c>
    </row>
    <row r="216" spans="4:7" x14ac:dyDescent="0.3">
      <c r="D216" t="str">
        <f>IF(Artikel!$B214="","",Artikel!$B214)</f>
        <v/>
      </c>
      <c r="E216" t="str">
        <f>IF($D216="","",SUMIF(Verkäufe!$F:$F,$D216,Verkäufe!$G:$G))</f>
        <v/>
      </c>
      <c r="F216" s="21" t="str">
        <f>IF($D216="","",SUMIF(Verkäufe!$F:$F,$D216,Verkäufe!$J:$J))</f>
        <v/>
      </c>
      <c r="G216" s="21" t="str">
        <f>IF($D216="","",SUMIF(Verkäufe!$F:$F,$D216,Verkäufe!$K:$K))</f>
        <v/>
      </c>
    </row>
    <row r="217" spans="4:7" x14ac:dyDescent="0.3">
      <c r="D217" t="str">
        <f>IF(Artikel!$B215="","",Artikel!$B215)</f>
        <v/>
      </c>
      <c r="E217" t="str">
        <f>IF($D217="","",SUMIF(Verkäufe!$F:$F,$D217,Verkäufe!$G:$G))</f>
        <v/>
      </c>
      <c r="F217" s="21" t="str">
        <f>IF($D217="","",SUMIF(Verkäufe!$F:$F,$D217,Verkäufe!$J:$J))</f>
        <v/>
      </c>
      <c r="G217" s="21" t="str">
        <f>IF($D217="","",SUMIF(Verkäufe!$F:$F,$D217,Verkäufe!$K:$K))</f>
        <v/>
      </c>
    </row>
    <row r="218" spans="4:7" x14ac:dyDescent="0.3">
      <c r="D218" t="str">
        <f>IF(Artikel!$B216="","",Artikel!$B216)</f>
        <v/>
      </c>
      <c r="E218" t="str">
        <f>IF($D218="","",SUMIF(Verkäufe!$F:$F,$D218,Verkäufe!$G:$G))</f>
        <v/>
      </c>
      <c r="F218" s="21" t="str">
        <f>IF($D218="","",SUMIF(Verkäufe!$F:$F,$D218,Verkäufe!$J:$J))</f>
        <v/>
      </c>
      <c r="G218" s="21" t="str">
        <f>IF($D218="","",SUMIF(Verkäufe!$F:$F,$D218,Verkäufe!$K:$K))</f>
        <v/>
      </c>
    </row>
    <row r="219" spans="4:7" x14ac:dyDescent="0.3">
      <c r="D219" t="str">
        <f>IF(Artikel!$B217="","",Artikel!$B217)</f>
        <v/>
      </c>
      <c r="E219" t="str">
        <f>IF($D219="","",SUMIF(Verkäufe!$F:$F,$D219,Verkäufe!$G:$G))</f>
        <v/>
      </c>
      <c r="F219" s="21" t="str">
        <f>IF($D219="","",SUMIF(Verkäufe!$F:$F,$D219,Verkäufe!$J:$J))</f>
        <v/>
      </c>
      <c r="G219" s="21" t="str">
        <f>IF($D219="","",SUMIF(Verkäufe!$F:$F,$D219,Verkäufe!$K:$K))</f>
        <v/>
      </c>
    </row>
    <row r="220" spans="4:7" x14ac:dyDescent="0.3">
      <c r="D220" t="str">
        <f>IF(Artikel!$B218="","",Artikel!$B218)</f>
        <v/>
      </c>
      <c r="E220" t="str">
        <f>IF($D220="","",SUMIF(Verkäufe!$F:$F,$D220,Verkäufe!$G:$G))</f>
        <v/>
      </c>
      <c r="F220" s="21" t="str">
        <f>IF($D220="","",SUMIF(Verkäufe!$F:$F,$D220,Verkäufe!$J:$J))</f>
        <v/>
      </c>
      <c r="G220" s="21" t="str">
        <f>IF($D220="","",SUMIF(Verkäufe!$F:$F,$D220,Verkäufe!$K:$K))</f>
        <v/>
      </c>
    </row>
    <row r="221" spans="4:7" x14ac:dyDescent="0.3">
      <c r="D221" t="str">
        <f>IF(Artikel!$B219="","",Artikel!$B219)</f>
        <v/>
      </c>
      <c r="E221" t="str">
        <f>IF($D221="","",SUMIF(Verkäufe!$F:$F,$D221,Verkäufe!$G:$G))</f>
        <v/>
      </c>
      <c r="F221" s="21" t="str">
        <f>IF($D221="","",SUMIF(Verkäufe!$F:$F,$D221,Verkäufe!$J:$J))</f>
        <v/>
      </c>
      <c r="G221" s="21" t="str">
        <f>IF($D221="","",SUMIF(Verkäufe!$F:$F,$D221,Verkäufe!$K:$K))</f>
        <v/>
      </c>
    </row>
    <row r="222" spans="4:7" x14ac:dyDescent="0.3">
      <c r="D222" t="str">
        <f>IF(Artikel!$B220="","",Artikel!$B220)</f>
        <v/>
      </c>
      <c r="E222" t="str">
        <f>IF($D222="","",SUMIF(Verkäufe!$F:$F,$D222,Verkäufe!$G:$G))</f>
        <v/>
      </c>
      <c r="F222" s="21" t="str">
        <f>IF($D222="","",SUMIF(Verkäufe!$F:$F,$D222,Verkäufe!$J:$J))</f>
        <v/>
      </c>
      <c r="G222" s="21" t="str">
        <f>IF($D222="","",SUMIF(Verkäufe!$F:$F,$D222,Verkäufe!$K:$K))</f>
        <v/>
      </c>
    </row>
    <row r="223" spans="4:7" x14ac:dyDescent="0.3">
      <c r="D223" t="str">
        <f>IF(Artikel!$B221="","",Artikel!$B221)</f>
        <v/>
      </c>
      <c r="E223" t="str">
        <f>IF($D223="","",SUMIF(Verkäufe!$F:$F,$D223,Verkäufe!$G:$G))</f>
        <v/>
      </c>
      <c r="F223" s="21" t="str">
        <f>IF($D223="","",SUMIF(Verkäufe!$F:$F,$D223,Verkäufe!$J:$J))</f>
        <v/>
      </c>
      <c r="G223" s="21" t="str">
        <f>IF($D223="","",SUMIF(Verkäufe!$F:$F,$D223,Verkäufe!$K:$K))</f>
        <v/>
      </c>
    </row>
    <row r="224" spans="4:7" x14ac:dyDescent="0.3">
      <c r="D224" t="str">
        <f>IF(Artikel!$B222="","",Artikel!$B222)</f>
        <v/>
      </c>
      <c r="E224" t="str">
        <f>IF($D224="","",SUMIF(Verkäufe!$F:$F,$D224,Verkäufe!$G:$G))</f>
        <v/>
      </c>
      <c r="F224" s="21" t="str">
        <f>IF($D224="","",SUMIF(Verkäufe!$F:$F,$D224,Verkäufe!$J:$J))</f>
        <v/>
      </c>
      <c r="G224" s="21" t="str">
        <f>IF($D224="","",SUMIF(Verkäufe!$F:$F,$D224,Verkäufe!$K:$K))</f>
        <v/>
      </c>
    </row>
    <row r="225" spans="4:7" x14ac:dyDescent="0.3">
      <c r="D225" t="str">
        <f>IF(Artikel!$B223="","",Artikel!$B223)</f>
        <v/>
      </c>
      <c r="E225" t="str">
        <f>IF($D225="","",SUMIF(Verkäufe!$F:$F,$D225,Verkäufe!$G:$G))</f>
        <v/>
      </c>
      <c r="F225" s="21" t="str">
        <f>IF($D225="","",SUMIF(Verkäufe!$F:$F,$D225,Verkäufe!$J:$J))</f>
        <v/>
      </c>
      <c r="G225" s="21" t="str">
        <f>IF($D225="","",SUMIF(Verkäufe!$F:$F,$D225,Verkäufe!$K:$K))</f>
        <v/>
      </c>
    </row>
    <row r="226" spans="4:7" x14ac:dyDescent="0.3">
      <c r="D226" t="str">
        <f>IF(Artikel!$B224="","",Artikel!$B224)</f>
        <v/>
      </c>
      <c r="E226" t="str">
        <f>IF($D226="","",SUMIF(Verkäufe!$F:$F,$D226,Verkäufe!$G:$G))</f>
        <v/>
      </c>
      <c r="F226" s="21" t="str">
        <f>IF($D226="","",SUMIF(Verkäufe!$F:$F,$D226,Verkäufe!$J:$J))</f>
        <v/>
      </c>
      <c r="G226" s="21" t="str">
        <f>IF($D226="","",SUMIF(Verkäufe!$F:$F,$D226,Verkäufe!$K:$K))</f>
        <v/>
      </c>
    </row>
    <row r="227" spans="4:7" x14ac:dyDescent="0.3">
      <c r="D227" t="str">
        <f>IF(Artikel!$B225="","",Artikel!$B225)</f>
        <v/>
      </c>
      <c r="E227" t="str">
        <f>IF($D227="","",SUMIF(Verkäufe!$F:$F,$D227,Verkäufe!$G:$G))</f>
        <v/>
      </c>
      <c r="F227" s="21" t="str">
        <f>IF($D227="","",SUMIF(Verkäufe!$F:$F,$D227,Verkäufe!$J:$J))</f>
        <v/>
      </c>
      <c r="G227" s="21" t="str">
        <f>IF($D227="","",SUMIF(Verkäufe!$F:$F,$D227,Verkäufe!$K:$K))</f>
        <v/>
      </c>
    </row>
    <row r="228" spans="4:7" x14ac:dyDescent="0.3">
      <c r="D228" t="str">
        <f>IF(Artikel!$B226="","",Artikel!$B226)</f>
        <v/>
      </c>
      <c r="E228" t="str">
        <f>IF($D228="","",SUMIF(Verkäufe!$F:$F,$D228,Verkäufe!$G:$G))</f>
        <v/>
      </c>
      <c r="F228" s="21" t="str">
        <f>IF($D228="","",SUMIF(Verkäufe!$F:$F,$D228,Verkäufe!$J:$J))</f>
        <v/>
      </c>
      <c r="G228" s="21" t="str">
        <f>IF($D228="","",SUMIF(Verkäufe!$F:$F,$D228,Verkäufe!$K:$K))</f>
        <v/>
      </c>
    </row>
    <row r="229" spans="4:7" x14ac:dyDescent="0.3">
      <c r="D229" t="str">
        <f>IF(Artikel!$B227="","",Artikel!$B227)</f>
        <v/>
      </c>
      <c r="E229" t="str">
        <f>IF($D229="","",SUMIF(Verkäufe!$F:$F,$D229,Verkäufe!$G:$G))</f>
        <v/>
      </c>
      <c r="F229" s="21" t="str">
        <f>IF($D229="","",SUMIF(Verkäufe!$F:$F,$D229,Verkäufe!$J:$J))</f>
        <v/>
      </c>
      <c r="G229" s="21" t="str">
        <f>IF($D229="","",SUMIF(Verkäufe!$F:$F,$D229,Verkäufe!$K:$K))</f>
        <v/>
      </c>
    </row>
    <row r="230" spans="4:7" x14ac:dyDescent="0.3">
      <c r="D230" t="str">
        <f>IF(Artikel!$B228="","",Artikel!$B228)</f>
        <v/>
      </c>
      <c r="E230" t="str">
        <f>IF($D230="","",SUMIF(Verkäufe!$F:$F,$D230,Verkäufe!$G:$G))</f>
        <v/>
      </c>
      <c r="F230" s="21" t="str">
        <f>IF($D230="","",SUMIF(Verkäufe!$F:$F,$D230,Verkäufe!$J:$J))</f>
        <v/>
      </c>
      <c r="G230" s="21" t="str">
        <f>IF($D230="","",SUMIF(Verkäufe!$F:$F,$D230,Verkäufe!$K:$K))</f>
        <v/>
      </c>
    </row>
    <row r="231" spans="4:7" x14ac:dyDescent="0.3">
      <c r="D231" t="str">
        <f>IF(Artikel!$B229="","",Artikel!$B229)</f>
        <v/>
      </c>
      <c r="E231" t="str">
        <f>IF($D231="","",SUMIF(Verkäufe!$F:$F,$D231,Verkäufe!$G:$G))</f>
        <v/>
      </c>
      <c r="F231" s="21" t="str">
        <f>IF($D231="","",SUMIF(Verkäufe!$F:$F,$D231,Verkäufe!$J:$J))</f>
        <v/>
      </c>
      <c r="G231" s="21" t="str">
        <f>IF($D231="","",SUMIF(Verkäufe!$F:$F,$D231,Verkäufe!$K:$K))</f>
        <v/>
      </c>
    </row>
    <row r="232" spans="4:7" x14ac:dyDescent="0.3">
      <c r="D232" t="str">
        <f>IF(Artikel!$B230="","",Artikel!$B230)</f>
        <v/>
      </c>
      <c r="E232" t="str">
        <f>IF($D232="","",SUMIF(Verkäufe!$F:$F,$D232,Verkäufe!$G:$G))</f>
        <v/>
      </c>
      <c r="F232" s="21" t="str">
        <f>IF($D232="","",SUMIF(Verkäufe!$F:$F,$D232,Verkäufe!$J:$J))</f>
        <v/>
      </c>
      <c r="G232" s="21" t="str">
        <f>IF($D232="","",SUMIF(Verkäufe!$F:$F,$D232,Verkäufe!$K:$K))</f>
        <v/>
      </c>
    </row>
    <row r="233" spans="4:7" x14ac:dyDescent="0.3">
      <c r="D233" t="str">
        <f>IF(Artikel!$B231="","",Artikel!$B231)</f>
        <v/>
      </c>
      <c r="E233" t="str">
        <f>IF($D233="","",SUMIF(Verkäufe!$F:$F,$D233,Verkäufe!$G:$G))</f>
        <v/>
      </c>
      <c r="F233" s="21" t="str">
        <f>IF($D233="","",SUMIF(Verkäufe!$F:$F,$D233,Verkäufe!$J:$J))</f>
        <v/>
      </c>
      <c r="G233" s="21" t="str">
        <f>IF($D233="","",SUMIF(Verkäufe!$F:$F,$D233,Verkäufe!$K:$K))</f>
        <v/>
      </c>
    </row>
    <row r="234" spans="4:7" x14ac:dyDescent="0.3">
      <c r="D234" t="str">
        <f>IF(Artikel!$B232="","",Artikel!$B232)</f>
        <v/>
      </c>
      <c r="E234" t="str">
        <f>IF($D234="","",SUMIF(Verkäufe!$F:$F,$D234,Verkäufe!$G:$G))</f>
        <v/>
      </c>
      <c r="F234" s="21" t="str">
        <f>IF($D234="","",SUMIF(Verkäufe!$F:$F,$D234,Verkäufe!$J:$J))</f>
        <v/>
      </c>
      <c r="G234" s="21" t="str">
        <f>IF($D234="","",SUMIF(Verkäufe!$F:$F,$D234,Verkäufe!$K:$K))</f>
        <v/>
      </c>
    </row>
    <row r="235" spans="4:7" x14ac:dyDescent="0.3">
      <c r="D235" t="str">
        <f>IF(Artikel!$B233="","",Artikel!$B233)</f>
        <v/>
      </c>
      <c r="E235" t="str">
        <f>IF($D235="","",SUMIF(Verkäufe!$F:$F,$D235,Verkäufe!$G:$G))</f>
        <v/>
      </c>
      <c r="F235" s="21" t="str">
        <f>IF($D235="","",SUMIF(Verkäufe!$F:$F,$D235,Verkäufe!$J:$J))</f>
        <v/>
      </c>
      <c r="G235" s="21" t="str">
        <f>IF($D235="","",SUMIF(Verkäufe!$F:$F,$D235,Verkäufe!$K:$K))</f>
        <v/>
      </c>
    </row>
    <row r="236" spans="4:7" x14ac:dyDescent="0.3">
      <c r="D236" t="str">
        <f>IF(Artikel!$B234="","",Artikel!$B234)</f>
        <v/>
      </c>
      <c r="E236" t="str">
        <f>IF($D236="","",SUMIF(Verkäufe!$F:$F,$D236,Verkäufe!$G:$G))</f>
        <v/>
      </c>
      <c r="F236" s="21" t="str">
        <f>IF($D236="","",SUMIF(Verkäufe!$F:$F,$D236,Verkäufe!$J:$J))</f>
        <v/>
      </c>
      <c r="G236" s="21" t="str">
        <f>IF($D236="","",SUMIF(Verkäufe!$F:$F,$D236,Verkäufe!$K:$K))</f>
        <v/>
      </c>
    </row>
    <row r="237" spans="4:7" x14ac:dyDescent="0.3">
      <c r="D237" t="str">
        <f>IF(Artikel!$B235="","",Artikel!$B235)</f>
        <v/>
      </c>
      <c r="E237" t="str">
        <f>IF($D237="","",SUMIF(Verkäufe!$F:$F,$D237,Verkäufe!$G:$G))</f>
        <v/>
      </c>
      <c r="F237" s="21" t="str">
        <f>IF($D237="","",SUMIF(Verkäufe!$F:$F,$D237,Verkäufe!$J:$J))</f>
        <v/>
      </c>
      <c r="G237" s="21" t="str">
        <f>IF($D237="","",SUMIF(Verkäufe!$F:$F,$D237,Verkäufe!$K:$K))</f>
        <v/>
      </c>
    </row>
    <row r="238" spans="4:7" x14ac:dyDescent="0.3">
      <c r="D238" t="str">
        <f>IF(Artikel!$B236="","",Artikel!$B236)</f>
        <v/>
      </c>
      <c r="E238" t="str">
        <f>IF($D238="","",SUMIF(Verkäufe!$F:$F,$D238,Verkäufe!$G:$G))</f>
        <v/>
      </c>
      <c r="F238" s="21" t="str">
        <f>IF($D238="","",SUMIF(Verkäufe!$F:$F,$D238,Verkäufe!$J:$J))</f>
        <v/>
      </c>
      <c r="G238" s="21" t="str">
        <f>IF($D238="","",SUMIF(Verkäufe!$F:$F,$D238,Verkäufe!$K:$K))</f>
        <v/>
      </c>
    </row>
    <row r="239" spans="4:7" x14ac:dyDescent="0.3">
      <c r="D239" t="str">
        <f>IF(Artikel!$B237="","",Artikel!$B237)</f>
        <v/>
      </c>
      <c r="E239" t="str">
        <f>IF($D239="","",SUMIF(Verkäufe!$F:$F,$D239,Verkäufe!$G:$G))</f>
        <v/>
      </c>
      <c r="F239" s="21" t="str">
        <f>IF($D239="","",SUMIF(Verkäufe!$F:$F,$D239,Verkäufe!$J:$J))</f>
        <v/>
      </c>
      <c r="G239" s="21" t="str">
        <f>IF($D239="","",SUMIF(Verkäufe!$F:$F,$D239,Verkäufe!$K:$K))</f>
        <v/>
      </c>
    </row>
    <row r="240" spans="4:7" x14ac:dyDescent="0.3">
      <c r="D240" t="str">
        <f>IF(Artikel!$B238="","",Artikel!$B238)</f>
        <v/>
      </c>
      <c r="E240" t="str">
        <f>IF($D240="","",SUMIF(Verkäufe!$F:$F,$D240,Verkäufe!$G:$G))</f>
        <v/>
      </c>
      <c r="F240" s="21" t="str">
        <f>IF($D240="","",SUMIF(Verkäufe!$F:$F,$D240,Verkäufe!$J:$J))</f>
        <v/>
      </c>
      <c r="G240" s="21" t="str">
        <f>IF($D240="","",SUMIF(Verkäufe!$F:$F,$D240,Verkäufe!$K:$K))</f>
        <v/>
      </c>
    </row>
    <row r="241" spans="4:7" x14ac:dyDescent="0.3">
      <c r="D241" t="str">
        <f>IF(Artikel!$B239="","",Artikel!$B239)</f>
        <v/>
      </c>
      <c r="E241" t="str">
        <f>IF($D241="","",SUMIF(Verkäufe!$F:$F,$D241,Verkäufe!$G:$G))</f>
        <v/>
      </c>
      <c r="F241" s="21" t="str">
        <f>IF($D241="","",SUMIF(Verkäufe!$F:$F,$D241,Verkäufe!$J:$J))</f>
        <v/>
      </c>
      <c r="G241" s="21" t="str">
        <f>IF($D241="","",SUMIF(Verkäufe!$F:$F,$D241,Verkäufe!$K:$K))</f>
        <v/>
      </c>
    </row>
    <row r="242" spans="4:7" x14ac:dyDescent="0.3">
      <c r="D242" t="str">
        <f>IF(Artikel!$B240="","",Artikel!$B240)</f>
        <v/>
      </c>
      <c r="E242" t="str">
        <f>IF($D242="","",SUMIF(Verkäufe!$F:$F,$D242,Verkäufe!$G:$G))</f>
        <v/>
      </c>
      <c r="F242" s="21" t="str">
        <f>IF($D242="","",SUMIF(Verkäufe!$F:$F,$D242,Verkäufe!$J:$J))</f>
        <v/>
      </c>
      <c r="G242" s="21" t="str">
        <f>IF($D242="","",SUMIF(Verkäufe!$F:$F,$D242,Verkäufe!$K:$K))</f>
        <v/>
      </c>
    </row>
    <row r="243" spans="4:7" x14ac:dyDescent="0.3">
      <c r="D243" t="str">
        <f>IF(Artikel!$B241="","",Artikel!$B241)</f>
        <v/>
      </c>
      <c r="E243" t="str">
        <f>IF($D243="","",SUMIF(Verkäufe!$F:$F,$D243,Verkäufe!$G:$G))</f>
        <v/>
      </c>
      <c r="F243" s="21" t="str">
        <f>IF($D243="","",SUMIF(Verkäufe!$F:$F,$D243,Verkäufe!$J:$J))</f>
        <v/>
      </c>
      <c r="G243" s="21" t="str">
        <f>IF($D243="","",SUMIF(Verkäufe!$F:$F,$D243,Verkäufe!$K:$K))</f>
        <v/>
      </c>
    </row>
    <row r="244" spans="4:7" x14ac:dyDescent="0.3">
      <c r="D244" t="str">
        <f>IF(Artikel!$B242="","",Artikel!$B242)</f>
        <v/>
      </c>
      <c r="E244" t="str">
        <f>IF($D244="","",SUMIF(Verkäufe!$F:$F,$D244,Verkäufe!$G:$G))</f>
        <v/>
      </c>
      <c r="F244" s="21" t="str">
        <f>IF($D244="","",SUMIF(Verkäufe!$F:$F,$D244,Verkäufe!$J:$J))</f>
        <v/>
      </c>
      <c r="G244" s="21" t="str">
        <f>IF($D244="","",SUMIF(Verkäufe!$F:$F,$D244,Verkäufe!$K:$K))</f>
        <v/>
      </c>
    </row>
    <row r="245" spans="4:7" x14ac:dyDescent="0.3">
      <c r="D245" t="str">
        <f>IF(Artikel!$B243="","",Artikel!$B243)</f>
        <v/>
      </c>
      <c r="E245" t="str">
        <f>IF($D245="","",SUMIF(Verkäufe!$F:$F,$D245,Verkäufe!$G:$G))</f>
        <v/>
      </c>
      <c r="F245" s="21" t="str">
        <f>IF($D245="","",SUMIF(Verkäufe!$F:$F,$D245,Verkäufe!$J:$J))</f>
        <v/>
      </c>
      <c r="G245" s="21" t="str">
        <f>IF($D245="","",SUMIF(Verkäufe!$F:$F,$D245,Verkäufe!$K:$K))</f>
        <v/>
      </c>
    </row>
    <row r="246" spans="4:7" x14ac:dyDescent="0.3">
      <c r="D246" t="str">
        <f>IF(Artikel!$B244="","",Artikel!$B244)</f>
        <v/>
      </c>
      <c r="E246" t="str">
        <f>IF($D246="","",SUMIF(Verkäufe!$F:$F,$D246,Verkäufe!$G:$G))</f>
        <v/>
      </c>
      <c r="F246" s="21" t="str">
        <f>IF($D246="","",SUMIF(Verkäufe!$F:$F,$D246,Verkäufe!$J:$J))</f>
        <v/>
      </c>
      <c r="G246" s="21" t="str">
        <f>IF($D246="","",SUMIF(Verkäufe!$F:$F,$D246,Verkäufe!$K:$K))</f>
        <v/>
      </c>
    </row>
    <row r="247" spans="4:7" x14ac:dyDescent="0.3">
      <c r="D247" t="str">
        <f>IF(Artikel!$B245="","",Artikel!$B245)</f>
        <v/>
      </c>
      <c r="E247" t="str">
        <f>IF($D247="","",SUMIF(Verkäufe!$F:$F,$D247,Verkäufe!$G:$G))</f>
        <v/>
      </c>
      <c r="F247" s="21" t="str">
        <f>IF($D247="","",SUMIF(Verkäufe!$F:$F,$D247,Verkäufe!$J:$J))</f>
        <v/>
      </c>
      <c r="G247" s="21" t="str">
        <f>IF($D247="","",SUMIF(Verkäufe!$F:$F,$D247,Verkäufe!$K:$K))</f>
        <v/>
      </c>
    </row>
    <row r="248" spans="4:7" x14ac:dyDescent="0.3">
      <c r="D248" t="str">
        <f>IF(Artikel!$B246="","",Artikel!$B246)</f>
        <v/>
      </c>
      <c r="E248" t="str">
        <f>IF($D248="","",SUMIF(Verkäufe!$F:$F,$D248,Verkäufe!$G:$G))</f>
        <v/>
      </c>
      <c r="F248" s="21" t="str">
        <f>IF($D248="","",SUMIF(Verkäufe!$F:$F,$D248,Verkäufe!$J:$J))</f>
        <v/>
      </c>
      <c r="G248" s="21" t="str">
        <f>IF($D248="","",SUMIF(Verkäufe!$F:$F,$D248,Verkäufe!$K:$K))</f>
        <v/>
      </c>
    </row>
    <row r="249" spans="4:7" x14ac:dyDescent="0.3">
      <c r="D249" t="str">
        <f>IF(Artikel!$B247="","",Artikel!$B247)</f>
        <v/>
      </c>
      <c r="E249" t="str">
        <f>IF($D249="","",SUMIF(Verkäufe!$F:$F,$D249,Verkäufe!$G:$G))</f>
        <v/>
      </c>
      <c r="F249" s="21" t="str">
        <f>IF($D249="","",SUMIF(Verkäufe!$F:$F,$D249,Verkäufe!$J:$J))</f>
        <v/>
      </c>
      <c r="G249" s="21" t="str">
        <f>IF($D249="","",SUMIF(Verkäufe!$F:$F,$D249,Verkäufe!$K:$K))</f>
        <v/>
      </c>
    </row>
    <row r="250" spans="4:7" x14ac:dyDescent="0.3">
      <c r="D250" t="str">
        <f>IF(Artikel!$B248="","",Artikel!$B248)</f>
        <v/>
      </c>
      <c r="E250" t="str">
        <f>IF($D250="","",SUMIF(Verkäufe!$F:$F,$D250,Verkäufe!$G:$G))</f>
        <v/>
      </c>
      <c r="F250" s="21" t="str">
        <f>IF($D250="","",SUMIF(Verkäufe!$F:$F,$D250,Verkäufe!$J:$J))</f>
        <v/>
      </c>
      <c r="G250" s="21" t="str">
        <f>IF($D250="","",SUMIF(Verkäufe!$F:$F,$D250,Verkäufe!$K:$K))</f>
        <v/>
      </c>
    </row>
    <row r="251" spans="4:7" x14ac:dyDescent="0.3">
      <c r="D251" t="str">
        <f>IF(Artikel!$B249="","",Artikel!$B249)</f>
        <v/>
      </c>
      <c r="E251" t="str">
        <f>IF($D251="","",SUMIF(Verkäufe!$F:$F,$D251,Verkäufe!$G:$G))</f>
        <v/>
      </c>
      <c r="F251" s="21" t="str">
        <f>IF($D251="","",SUMIF(Verkäufe!$F:$F,$D251,Verkäufe!$J:$J))</f>
        <v/>
      </c>
      <c r="G251" s="21" t="str">
        <f>IF($D251="","",SUMIF(Verkäufe!$F:$F,$D251,Verkäufe!$K:$K))</f>
        <v/>
      </c>
    </row>
    <row r="252" spans="4:7" x14ac:dyDescent="0.3">
      <c r="D252" t="str">
        <f>IF(Artikel!$B250="","",Artikel!$B250)</f>
        <v/>
      </c>
      <c r="E252" t="str">
        <f>IF($D252="","",SUMIF(Verkäufe!$F:$F,$D252,Verkäufe!$G:$G))</f>
        <v/>
      </c>
      <c r="F252" s="21" t="str">
        <f>IF($D252="","",SUMIF(Verkäufe!$F:$F,$D252,Verkäufe!$J:$J))</f>
        <v/>
      </c>
      <c r="G252" s="21" t="str">
        <f>IF($D252="","",SUMIF(Verkäufe!$F:$F,$D252,Verkäufe!$K:$K))</f>
        <v/>
      </c>
    </row>
    <row r="253" spans="4:7" x14ac:dyDescent="0.3">
      <c r="D253" t="str">
        <f>IF(Artikel!$B251="","",Artikel!$B251)</f>
        <v/>
      </c>
      <c r="E253" t="str">
        <f>IF($D253="","",SUMIF(Verkäufe!$F:$F,$D253,Verkäufe!$G:$G))</f>
        <v/>
      </c>
      <c r="F253" s="21" t="str">
        <f>IF($D253="","",SUMIF(Verkäufe!$F:$F,$D253,Verkäufe!$J:$J))</f>
        <v/>
      </c>
      <c r="G253" s="21" t="str">
        <f>IF($D253="","",SUMIF(Verkäufe!$F:$F,$D253,Verkäufe!$K:$K))</f>
        <v/>
      </c>
    </row>
    <row r="254" spans="4:7" x14ac:dyDescent="0.3">
      <c r="D254" t="str">
        <f>IF(Artikel!$B252="","",Artikel!$B252)</f>
        <v/>
      </c>
      <c r="E254" t="str">
        <f>IF($D254="","",SUMIF(Verkäufe!$F:$F,$D254,Verkäufe!$G:$G))</f>
        <v/>
      </c>
      <c r="F254" s="21" t="str">
        <f>IF($D254="","",SUMIF(Verkäufe!$F:$F,$D254,Verkäufe!$J:$J))</f>
        <v/>
      </c>
      <c r="G254" s="21" t="str">
        <f>IF($D254="","",SUMIF(Verkäufe!$F:$F,$D254,Verkäufe!$K:$K))</f>
        <v/>
      </c>
    </row>
    <row r="255" spans="4:7" x14ac:dyDescent="0.3">
      <c r="D255" t="str">
        <f>IF(Artikel!$B253="","",Artikel!$B253)</f>
        <v/>
      </c>
      <c r="E255" t="str">
        <f>IF($D255="","",SUMIF(Verkäufe!$F:$F,$D255,Verkäufe!$G:$G))</f>
        <v/>
      </c>
      <c r="F255" s="21" t="str">
        <f>IF($D255="","",SUMIF(Verkäufe!$F:$F,$D255,Verkäufe!$J:$J))</f>
        <v/>
      </c>
      <c r="G255" s="21" t="str">
        <f>IF($D255="","",SUMIF(Verkäufe!$F:$F,$D255,Verkäufe!$K:$K))</f>
        <v/>
      </c>
    </row>
    <row r="256" spans="4:7" x14ac:dyDescent="0.3">
      <c r="D256" t="str">
        <f>IF(Artikel!$B254="","",Artikel!$B254)</f>
        <v/>
      </c>
      <c r="E256" t="str">
        <f>IF($D256="","",SUMIF(Verkäufe!$F:$F,$D256,Verkäufe!$G:$G))</f>
        <v/>
      </c>
      <c r="F256" s="21" t="str">
        <f>IF($D256="","",SUMIF(Verkäufe!$F:$F,$D256,Verkäufe!$J:$J))</f>
        <v/>
      </c>
      <c r="G256" s="21" t="str">
        <f>IF($D256="","",SUMIF(Verkäufe!$F:$F,$D256,Verkäufe!$K:$K))</f>
        <v/>
      </c>
    </row>
    <row r="257" spans="4:7" x14ac:dyDescent="0.3">
      <c r="D257" t="str">
        <f>IF(Artikel!$B255="","",Artikel!$B255)</f>
        <v/>
      </c>
      <c r="E257" t="str">
        <f>IF($D257="","",SUMIF(Verkäufe!$F:$F,$D257,Verkäufe!$G:$G))</f>
        <v/>
      </c>
      <c r="F257" s="21" t="str">
        <f>IF($D257="","",SUMIF(Verkäufe!$F:$F,$D257,Verkäufe!$J:$J))</f>
        <v/>
      </c>
      <c r="G257" s="21" t="str">
        <f>IF($D257="","",SUMIF(Verkäufe!$F:$F,$D257,Verkäufe!$K:$K))</f>
        <v/>
      </c>
    </row>
    <row r="258" spans="4:7" x14ac:dyDescent="0.3">
      <c r="D258" t="str">
        <f>IF(Artikel!$B256="","",Artikel!$B256)</f>
        <v/>
      </c>
      <c r="E258" t="str">
        <f>IF($D258="","",SUMIF(Verkäufe!$F:$F,$D258,Verkäufe!$G:$G))</f>
        <v/>
      </c>
      <c r="F258" s="21" t="str">
        <f>IF($D258="","",SUMIF(Verkäufe!$F:$F,$D258,Verkäufe!$J:$J))</f>
        <v/>
      </c>
      <c r="G258" s="21" t="str">
        <f>IF($D258="","",SUMIF(Verkäufe!$F:$F,$D258,Verkäufe!$K:$K))</f>
        <v/>
      </c>
    </row>
    <row r="259" spans="4:7" x14ac:dyDescent="0.3">
      <c r="D259" t="str">
        <f>IF(Artikel!$B257="","",Artikel!$B257)</f>
        <v/>
      </c>
      <c r="E259" t="str">
        <f>IF($D259="","",SUMIF(Verkäufe!$F:$F,$D259,Verkäufe!$G:$G))</f>
        <v/>
      </c>
      <c r="F259" s="21" t="str">
        <f>IF($D259="","",SUMIF(Verkäufe!$F:$F,$D259,Verkäufe!$J:$J))</f>
        <v/>
      </c>
      <c r="G259" s="21" t="str">
        <f>IF($D259="","",SUMIF(Verkäufe!$F:$F,$D259,Verkäufe!$K:$K))</f>
        <v/>
      </c>
    </row>
    <row r="260" spans="4:7" x14ac:dyDescent="0.3">
      <c r="D260" t="str">
        <f>IF(Artikel!$B258="","",Artikel!$B258)</f>
        <v/>
      </c>
      <c r="E260" t="str">
        <f>IF($D260="","",SUMIF(Verkäufe!$F:$F,$D260,Verkäufe!$G:$G))</f>
        <v/>
      </c>
      <c r="F260" s="21" t="str">
        <f>IF($D260="","",SUMIF(Verkäufe!$F:$F,$D260,Verkäufe!$J:$J))</f>
        <v/>
      </c>
      <c r="G260" s="21" t="str">
        <f>IF($D260="","",SUMIF(Verkäufe!$F:$F,$D260,Verkäufe!$K:$K))</f>
        <v/>
      </c>
    </row>
    <row r="261" spans="4:7" x14ac:dyDescent="0.3">
      <c r="D261" t="str">
        <f>IF(Artikel!$B259="","",Artikel!$B259)</f>
        <v/>
      </c>
      <c r="E261" t="str">
        <f>IF($D261="","",SUMIF(Verkäufe!$F:$F,$D261,Verkäufe!$G:$G))</f>
        <v/>
      </c>
      <c r="F261" s="21" t="str">
        <f>IF($D261="","",SUMIF(Verkäufe!$F:$F,$D261,Verkäufe!$J:$J))</f>
        <v/>
      </c>
      <c r="G261" s="21" t="str">
        <f>IF($D261="","",SUMIF(Verkäufe!$F:$F,$D261,Verkäufe!$K:$K))</f>
        <v/>
      </c>
    </row>
    <row r="262" spans="4:7" x14ac:dyDescent="0.3">
      <c r="D262" t="str">
        <f>IF(Artikel!$B260="","",Artikel!$B260)</f>
        <v/>
      </c>
      <c r="E262" t="str">
        <f>IF($D262="","",SUMIF(Verkäufe!$F:$F,$D262,Verkäufe!$G:$G))</f>
        <v/>
      </c>
      <c r="F262" s="21" t="str">
        <f>IF($D262="","",SUMIF(Verkäufe!$F:$F,$D262,Verkäufe!$J:$J))</f>
        <v/>
      </c>
      <c r="G262" s="21" t="str">
        <f>IF($D262="","",SUMIF(Verkäufe!$F:$F,$D262,Verkäufe!$K:$K))</f>
        <v/>
      </c>
    </row>
    <row r="263" spans="4:7" x14ac:dyDescent="0.3">
      <c r="D263" t="str">
        <f>IF(Artikel!$B261="","",Artikel!$B261)</f>
        <v/>
      </c>
      <c r="E263" t="str">
        <f>IF($D263="","",SUMIF(Verkäufe!$F:$F,$D263,Verkäufe!$G:$G))</f>
        <v/>
      </c>
      <c r="F263" s="21" t="str">
        <f>IF($D263="","",SUMIF(Verkäufe!$F:$F,$D263,Verkäufe!$J:$J))</f>
        <v/>
      </c>
      <c r="G263" s="21" t="str">
        <f>IF($D263="","",SUMIF(Verkäufe!$F:$F,$D263,Verkäufe!$K:$K))</f>
        <v/>
      </c>
    </row>
    <row r="264" spans="4:7" x14ac:dyDescent="0.3">
      <c r="D264" t="str">
        <f>IF(Artikel!$B262="","",Artikel!$B262)</f>
        <v/>
      </c>
      <c r="E264" t="str">
        <f>IF($D264="","",SUMIF(Verkäufe!$F:$F,$D264,Verkäufe!$G:$G))</f>
        <v/>
      </c>
      <c r="F264" s="21" t="str">
        <f>IF($D264="","",SUMIF(Verkäufe!$F:$F,$D264,Verkäufe!$J:$J))</f>
        <v/>
      </c>
      <c r="G264" s="21" t="str">
        <f>IF($D264="","",SUMIF(Verkäufe!$F:$F,$D264,Verkäufe!$K:$K))</f>
        <v/>
      </c>
    </row>
    <row r="265" spans="4:7" x14ac:dyDescent="0.3">
      <c r="D265" t="str">
        <f>IF(Artikel!$B263="","",Artikel!$B263)</f>
        <v/>
      </c>
      <c r="E265" t="str">
        <f>IF($D265="","",SUMIF(Verkäufe!$F:$F,$D265,Verkäufe!$G:$G))</f>
        <v/>
      </c>
      <c r="F265" s="21" t="str">
        <f>IF($D265="","",SUMIF(Verkäufe!$F:$F,$D265,Verkäufe!$J:$J))</f>
        <v/>
      </c>
      <c r="G265" s="21" t="str">
        <f>IF($D265="","",SUMIF(Verkäufe!$F:$F,$D265,Verkäufe!$K:$K))</f>
        <v/>
      </c>
    </row>
    <row r="266" spans="4:7" x14ac:dyDescent="0.3">
      <c r="D266" t="str">
        <f>IF(Artikel!$B264="","",Artikel!$B264)</f>
        <v/>
      </c>
      <c r="E266" t="str">
        <f>IF($D266="","",SUMIF(Verkäufe!$F:$F,$D266,Verkäufe!$G:$G))</f>
        <v/>
      </c>
      <c r="F266" s="21" t="str">
        <f>IF($D266="","",SUMIF(Verkäufe!$F:$F,$D266,Verkäufe!$J:$J))</f>
        <v/>
      </c>
      <c r="G266" s="21" t="str">
        <f>IF($D266="","",SUMIF(Verkäufe!$F:$F,$D266,Verkäufe!$K:$K))</f>
        <v/>
      </c>
    </row>
    <row r="267" spans="4:7" x14ac:dyDescent="0.3">
      <c r="D267" t="str">
        <f>IF(Artikel!$B265="","",Artikel!$B265)</f>
        <v/>
      </c>
      <c r="E267" t="str">
        <f>IF($D267="","",SUMIF(Verkäufe!$F:$F,$D267,Verkäufe!$G:$G))</f>
        <v/>
      </c>
      <c r="F267" s="21" t="str">
        <f>IF($D267="","",SUMIF(Verkäufe!$F:$F,$D267,Verkäufe!$J:$J))</f>
        <v/>
      </c>
      <c r="G267" s="21" t="str">
        <f>IF($D267="","",SUMIF(Verkäufe!$F:$F,$D267,Verkäufe!$K:$K))</f>
        <v/>
      </c>
    </row>
    <row r="268" spans="4:7" x14ac:dyDescent="0.3">
      <c r="D268" t="str">
        <f>IF(Artikel!$B266="","",Artikel!$B266)</f>
        <v/>
      </c>
      <c r="E268" t="str">
        <f>IF($D268="","",SUMIF(Verkäufe!$F:$F,$D268,Verkäufe!$G:$G))</f>
        <v/>
      </c>
      <c r="F268" s="21" t="str">
        <f>IF($D268="","",SUMIF(Verkäufe!$F:$F,$D268,Verkäufe!$J:$J))</f>
        <v/>
      </c>
      <c r="G268" s="21" t="str">
        <f>IF($D268="","",SUMIF(Verkäufe!$F:$F,$D268,Verkäufe!$K:$K))</f>
        <v/>
      </c>
    </row>
    <row r="269" spans="4:7" x14ac:dyDescent="0.3">
      <c r="D269" t="str">
        <f>IF(Artikel!$B267="","",Artikel!$B267)</f>
        <v/>
      </c>
      <c r="E269" t="str">
        <f>IF($D269="","",SUMIF(Verkäufe!$F:$F,$D269,Verkäufe!$G:$G))</f>
        <v/>
      </c>
      <c r="F269" s="21" t="str">
        <f>IF($D269="","",SUMIF(Verkäufe!$F:$F,$D269,Verkäufe!$J:$J))</f>
        <v/>
      </c>
      <c r="G269" s="21" t="str">
        <f>IF($D269="","",SUMIF(Verkäufe!$F:$F,$D269,Verkäufe!$K:$K))</f>
        <v/>
      </c>
    </row>
    <row r="270" spans="4:7" x14ac:dyDescent="0.3">
      <c r="D270" t="str">
        <f>IF(Artikel!$B268="","",Artikel!$B268)</f>
        <v/>
      </c>
      <c r="E270" t="str">
        <f>IF($D270="","",SUMIF(Verkäufe!$F:$F,$D270,Verkäufe!$G:$G))</f>
        <v/>
      </c>
      <c r="F270" s="21" t="str">
        <f>IF($D270="","",SUMIF(Verkäufe!$F:$F,$D270,Verkäufe!$J:$J))</f>
        <v/>
      </c>
      <c r="G270" s="21" t="str">
        <f>IF($D270="","",SUMIF(Verkäufe!$F:$F,$D270,Verkäufe!$K:$K))</f>
        <v/>
      </c>
    </row>
    <row r="271" spans="4:7" x14ac:dyDescent="0.3">
      <c r="D271" t="str">
        <f>IF(Artikel!$B269="","",Artikel!$B269)</f>
        <v/>
      </c>
      <c r="E271" t="str">
        <f>IF($D271="","",SUMIF(Verkäufe!$F:$F,$D271,Verkäufe!$G:$G))</f>
        <v/>
      </c>
      <c r="F271" s="21" t="str">
        <f>IF($D271="","",SUMIF(Verkäufe!$F:$F,$D271,Verkäufe!$J:$J))</f>
        <v/>
      </c>
      <c r="G271" s="21" t="str">
        <f>IF($D271="","",SUMIF(Verkäufe!$F:$F,$D271,Verkäufe!$K:$K))</f>
        <v/>
      </c>
    </row>
    <row r="272" spans="4:7" x14ac:dyDescent="0.3">
      <c r="D272" t="str">
        <f>IF(Artikel!$B270="","",Artikel!$B270)</f>
        <v/>
      </c>
      <c r="E272" t="str">
        <f>IF($D272="","",SUMIF(Verkäufe!$F:$F,$D272,Verkäufe!$G:$G))</f>
        <v/>
      </c>
      <c r="F272" s="21" t="str">
        <f>IF($D272="","",SUMIF(Verkäufe!$F:$F,$D272,Verkäufe!$J:$J))</f>
        <v/>
      </c>
      <c r="G272" s="21" t="str">
        <f>IF($D272="","",SUMIF(Verkäufe!$F:$F,$D272,Verkäufe!$K:$K))</f>
        <v/>
      </c>
    </row>
    <row r="273" spans="4:7" x14ac:dyDescent="0.3">
      <c r="D273" t="str">
        <f>IF(Artikel!$B271="","",Artikel!$B271)</f>
        <v/>
      </c>
      <c r="E273" t="str">
        <f>IF($D273="","",SUMIF(Verkäufe!$F:$F,$D273,Verkäufe!$G:$G))</f>
        <v/>
      </c>
      <c r="F273" s="21" t="str">
        <f>IF($D273="","",SUMIF(Verkäufe!$F:$F,$D273,Verkäufe!$J:$J))</f>
        <v/>
      </c>
      <c r="G273" s="21" t="str">
        <f>IF($D273="","",SUMIF(Verkäufe!$F:$F,$D273,Verkäufe!$K:$K))</f>
        <v/>
      </c>
    </row>
    <row r="274" spans="4:7" x14ac:dyDescent="0.3">
      <c r="D274" t="str">
        <f>IF(Artikel!$B272="","",Artikel!$B272)</f>
        <v/>
      </c>
      <c r="E274" t="str">
        <f>IF($D274="","",SUMIF(Verkäufe!$F:$F,$D274,Verkäufe!$G:$G))</f>
        <v/>
      </c>
      <c r="F274" s="21" t="str">
        <f>IF($D274="","",SUMIF(Verkäufe!$F:$F,$D274,Verkäufe!$J:$J))</f>
        <v/>
      </c>
      <c r="G274" s="21" t="str">
        <f>IF($D274="","",SUMIF(Verkäufe!$F:$F,$D274,Verkäufe!$K:$K))</f>
        <v/>
      </c>
    </row>
    <row r="275" spans="4:7" x14ac:dyDescent="0.3">
      <c r="D275" t="str">
        <f>IF(Artikel!$B273="","",Artikel!$B273)</f>
        <v/>
      </c>
      <c r="E275" t="str">
        <f>IF($D275="","",SUMIF(Verkäufe!$F:$F,$D275,Verkäufe!$G:$G))</f>
        <v/>
      </c>
      <c r="F275" s="21" t="str">
        <f>IF($D275="","",SUMIF(Verkäufe!$F:$F,$D275,Verkäufe!$J:$J))</f>
        <v/>
      </c>
      <c r="G275" s="21" t="str">
        <f>IF($D275="","",SUMIF(Verkäufe!$F:$F,$D275,Verkäufe!$K:$K))</f>
        <v/>
      </c>
    </row>
    <row r="276" spans="4:7" x14ac:dyDescent="0.3">
      <c r="D276" t="str">
        <f>IF(Artikel!$B274="","",Artikel!$B274)</f>
        <v/>
      </c>
      <c r="E276" t="str">
        <f>IF($D276="","",SUMIF(Verkäufe!$F:$F,$D276,Verkäufe!$G:$G))</f>
        <v/>
      </c>
      <c r="F276" s="21" t="str">
        <f>IF($D276="","",SUMIF(Verkäufe!$F:$F,$D276,Verkäufe!$J:$J))</f>
        <v/>
      </c>
      <c r="G276" s="21" t="str">
        <f>IF($D276="","",SUMIF(Verkäufe!$F:$F,$D276,Verkäufe!$K:$K))</f>
        <v/>
      </c>
    </row>
    <row r="277" spans="4:7" x14ac:dyDescent="0.3">
      <c r="D277" t="str">
        <f>IF(Artikel!$B275="","",Artikel!$B275)</f>
        <v/>
      </c>
      <c r="E277" t="str">
        <f>IF($D277="","",SUMIF(Verkäufe!$F:$F,$D277,Verkäufe!$G:$G))</f>
        <v/>
      </c>
      <c r="F277" s="21" t="str">
        <f>IF($D277="","",SUMIF(Verkäufe!$F:$F,$D277,Verkäufe!$J:$J))</f>
        <v/>
      </c>
      <c r="G277" s="21" t="str">
        <f>IF($D277="","",SUMIF(Verkäufe!$F:$F,$D277,Verkäufe!$K:$K))</f>
        <v/>
      </c>
    </row>
    <row r="278" spans="4:7" x14ac:dyDescent="0.3">
      <c r="D278" t="str">
        <f>IF(Artikel!$B276="","",Artikel!$B276)</f>
        <v/>
      </c>
      <c r="E278" t="str">
        <f>IF($D278="","",SUMIF(Verkäufe!$F:$F,$D278,Verkäufe!$G:$G))</f>
        <v/>
      </c>
      <c r="F278" s="21" t="str">
        <f>IF($D278="","",SUMIF(Verkäufe!$F:$F,$D278,Verkäufe!$J:$J))</f>
        <v/>
      </c>
      <c r="G278" s="21" t="str">
        <f>IF($D278="","",SUMIF(Verkäufe!$F:$F,$D278,Verkäufe!$K:$K))</f>
        <v/>
      </c>
    </row>
    <row r="279" spans="4:7" x14ac:dyDescent="0.3">
      <c r="D279" t="str">
        <f>IF(Artikel!$B277="","",Artikel!$B277)</f>
        <v/>
      </c>
      <c r="E279" t="str">
        <f>IF($D279="","",SUMIF(Verkäufe!$F:$F,$D279,Verkäufe!$G:$G))</f>
        <v/>
      </c>
      <c r="F279" s="21" t="str">
        <f>IF($D279="","",SUMIF(Verkäufe!$F:$F,$D279,Verkäufe!$J:$J))</f>
        <v/>
      </c>
      <c r="G279" s="21" t="str">
        <f>IF($D279="","",SUMIF(Verkäufe!$F:$F,$D279,Verkäufe!$K:$K))</f>
        <v/>
      </c>
    </row>
    <row r="280" spans="4:7" x14ac:dyDescent="0.3">
      <c r="D280" t="str">
        <f>IF(Artikel!$B278="","",Artikel!$B278)</f>
        <v/>
      </c>
      <c r="E280" t="str">
        <f>IF($D280="","",SUMIF(Verkäufe!$F:$F,$D280,Verkäufe!$G:$G))</f>
        <v/>
      </c>
      <c r="F280" s="21" t="str">
        <f>IF($D280="","",SUMIF(Verkäufe!$F:$F,$D280,Verkäufe!$J:$J))</f>
        <v/>
      </c>
      <c r="G280" s="21" t="str">
        <f>IF($D280="","",SUMIF(Verkäufe!$F:$F,$D280,Verkäufe!$K:$K))</f>
        <v/>
      </c>
    </row>
    <row r="281" spans="4:7" x14ac:dyDescent="0.3">
      <c r="D281" t="str">
        <f>IF(Artikel!$B279="","",Artikel!$B279)</f>
        <v/>
      </c>
      <c r="E281" t="str">
        <f>IF($D281="","",SUMIF(Verkäufe!$F:$F,$D281,Verkäufe!$G:$G))</f>
        <v/>
      </c>
      <c r="F281" s="21" t="str">
        <f>IF($D281="","",SUMIF(Verkäufe!$F:$F,$D281,Verkäufe!$J:$J))</f>
        <v/>
      </c>
      <c r="G281" s="21" t="str">
        <f>IF($D281="","",SUMIF(Verkäufe!$F:$F,$D281,Verkäufe!$K:$K))</f>
        <v/>
      </c>
    </row>
    <row r="282" spans="4:7" x14ac:dyDescent="0.3">
      <c r="D282" t="str">
        <f>IF(Artikel!$B280="","",Artikel!$B280)</f>
        <v/>
      </c>
      <c r="E282" t="str">
        <f>IF($D282="","",SUMIF(Verkäufe!$F:$F,$D282,Verkäufe!$G:$G))</f>
        <v/>
      </c>
      <c r="F282" s="21" t="str">
        <f>IF($D282="","",SUMIF(Verkäufe!$F:$F,$D282,Verkäufe!$J:$J))</f>
        <v/>
      </c>
      <c r="G282" s="21" t="str">
        <f>IF($D282="","",SUMIF(Verkäufe!$F:$F,$D282,Verkäufe!$K:$K))</f>
        <v/>
      </c>
    </row>
    <row r="283" spans="4:7" x14ac:dyDescent="0.3">
      <c r="D283" t="str">
        <f>IF(Artikel!$B281="","",Artikel!$B281)</f>
        <v/>
      </c>
      <c r="E283" t="str">
        <f>IF($D283="","",SUMIF(Verkäufe!$F:$F,$D283,Verkäufe!$G:$G))</f>
        <v/>
      </c>
      <c r="F283" s="21" t="str">
        <f>IF($D283="","",SUMIF(Verkäufe!$F:$F,$D283,Verkäufe!$J:$J))</f>
        <v/>
      </c>
      <c r="G283" s="21" t="str">
        <f>IF($D283="","",SUMIF(Verkäufe!$F:$F,$D283,Verkäufe!$K:$K))</f>
        <v/>
      </c>
    </row>
    <row r="284" spans="4:7" x14ac:dyDescent="0.3">
      <c r="D284" t="str">
        <f>IF(Artikel!$B282="","",Artikel!$B282)</f>
        <v/>
      </c>
      <c r="E284" t="str">
        <f>IF($D284="","",SUMIF(Verkäufe!$F:$F,$D284,Verkäufe!$G:$G))</f>
        <v/>
      </c>
      <c r="F284" s="21" t="str">
        <f>IF($D284="","",SUMIF(Verkäufe!$F:$F,$D284,Verkäufe!$J:$J))</f>
        <v/>
      </c>
      <c r="G284" s="21" t="str">
        <f>IF($D284="","",SUMIF(Verkäufe!$F:$F,$D284,Verkäufe!$K:$K))</f>
        <v/>
      </c>
    </row>
    <row r="285" spans="4:7" x14ac:dyDescent="0.3">
      <c r="D285" t="str">
        <f>IF(Artikel!$B283="","",Artikel!$B283)</f>
        <v/>
      </c>
      <c r="E285" t="str">
        <f>IF($D285="","",SUMIF(Verkäufe!$F:$F,$D285,Verkäufe!$G:$G))</f>
        <v/>
      </c>
      <c r="F285" s="21" t="str">
        <f>IF($D285="","",SUMIF(Verkäufe!$F:$F,$D285,Verkäufe!$J:$J))</f>
        <v/>
      </c>
      <c r="G285" s="21" t="str">
        <f>IF($D285="","",SUMIF(Verkäufe!$F:$F,$D285,Verkäufe!$K:$K))</f>
        <v/>
      </c>
    </row>
    <row r="286" spans="4:7" x14ac:dyDescent="0.3">
      <c r="D286" t="str">
        <f>IF(Artikel!$B284="","",Artikel!$B284)</f>
        <v/>
      </c>
      <c r="E286" t="str">
        <f>IF($D286="","",SUMIF(Verkäufe!$F:$F,$D286,Verkäufe!$G:$G))</f>
        <v/>
      </c>
      <c r="F286" s="21" t="str">
        <f>IF($D286="","",SUMIF(Verkäufe!$F:$F,$D286,Verkäufe!$J:$J))</f>
        <v/>
      </c>
      <c r="G286" s="21" t="str">
        <f>IF($D286="","",SUMIF(Verkäufe!$F:$F,$D286,Verkäufe!$K:$K))</f>
        <v/>
      </c>
    </row>
    <row r="287" spans="4:7" x14ac:dyDescent="0.3">
      <c r="D287" t="str">
        <f>IF(Artikel!$B285="","",Artikel!$B285)</f>
        <v/>
      </c>
      <c r="E287" t="str">
        <f>IF($D287="","",SUMIF(Verkäufe!$F:$F,$D287,Verkäufe!$G:$G))</f>
        <v/>
      </c>
      <c r="F287" s="21" t="str">
        <f>IF($D287="","",SUMIF(Verkäufe!$F:$F,$D287,Verkäufe!$J:$J))</f>
        <v/>
      </c>
      <c r="G287" s="21" t="str">
        <f>IF($D287="","",SUMIF(Verkäufe!$F:$F,$D287,Verkäufe!$K:$K))</f>
        <v/>
      </c>
    </row>
    <row r="288" spans="4:7" x14ac:dyDescent="0.3">
      <c r="D288" t="str">
        <f>IF(Artikel!$B286="","",Artikel!$B286)</f>
        <v/>
      </c>
      <c r="E288" t="str">
        <f>IF($D288="","",SUMIF(Verkäufe!$F:$F,$D288,Verkäufe!$G:$G))</f>
        <v/>
      </c>
      <c r="F288" s="21" t="str">
        <f>IF($D288="","",SUMIF(Verkäufe!$F:$F,$D288,Verkäufe!$J:$J))</f>
        <v/>
      </c>
      <c r="G288" s="21" t="str">
        <f>IF($D288="","",SUMIF(Verkäufe!$F:$F,$D288,Verkäufe!$K:$K))</f>
        <v/>
      </c>
    </row>
    <row r="289" spans="4:7" x14ac:dyDescent="0.3">
      <c r="D289" t="str">
        <f>IF(Artikel!$B287="","",Artikel!$B287)</f>
        <v/>
      </c>
      <c r="E289" t="str">
        <f>IF($D289="","",SUMIF(Verkäufe!$F:$F,$D289,Verkäufe!$G:$G))</f>
        <v/>
      </c>
      <c r="F289" s="21" t="str">
        <f>IF($D289="","",SUMIF(Verkäufe!$F:$F,$D289,Verkäufe!$J:$J))</f>
        <v/>
      </c>
      <c r="G289" s="21" t="str">
        <f>IF($D289="","",SUMIF(Verkäufe!$F:$F,$D289,Verkäufe!$K:$K))</f>
        <v/>
      </c>
    </row>
    <row r="290" spans="4:7" x14ac:dyDescent="0.3">
      <c r="D290" t="str">
        <f>IF(Artikel!$B288="","",Artikel!$B288)</f>
        <v/>
      </c>
      <c r="E290" t="str">
        <f>IF($D290="","",SUMIF(Verkäufe!$F:$F,$D290,Verkäufe!$G:$G))</f>
        <v/>
      </c>
      <c r="F290" s="21" t="str">
        <f>IF($D290="","",SUMIF(Verkäufe!$F:$F,$D290,Verkäufe!$J:$J))</f>
        <v/>
      </c>
      <c r="G290" s="21" t="str">
        <f>IF($D290="","",SUMIF(Verkäufe!$F:$F,$D290,Verkäufe!$K:$K))</f>
        <v/>
      </c>
    </row>
    <row r="291" spans="4:7" x14ac:dyDescent="0.3">
      <c r="D291" t="str">
        <f>IF(Artikel!$B289="","",Artikel!$B289)</f>
        <v/>
      </c>
      <c r="E291" t="str">
        <f>IF($D291="","",SUMIF(Verkäufe!$F:$F,$D291,Verkäufe!$G:$G))</f>
        <v/>
      </c>
      <c r="F291" s="21" t="str">
        <f>IF($D291="","",SUMIF(Verkäufe!$F:$F,$D291,Verkäufe!$J:$J))</f>
        <v/>
      </c>
      <c r="G291" s="21" t="str">
        <f>IF($D291="","",SUMIF(Verkäufe!$F:$F,$D291,Verkäufe!$K:$K))</f>
        <v/>
      </c>
    </row>
    <row r="292" spans="4:7" x14ac:dyDescent="0.3">
      <c r="D292" t="str">
        <f>IF(Artikel!$B290="","",Artikel!$B290)</f>
        <v/>
      </c>
      <c r="E292" t="str">
        <f>IF($D292="","",SUMIF(Verkäufe!$F:$F,$D292,Verkäufe!$G:$G))</f>
        <v/>
      </c>
      <c r="F292" s="21" t="str">
        <f>IF($D292="","",SUMIF(Verkäufe!$F:$F,$D292,Verkäufe!$J:$J))</f>
        <v/>
      </c>
      <c r="G292" s="21" t="str">
        <f>IF($D292="","",SUMIF(Verkäufe!$F:$F,$D292,Verkäufe!$K:$K))</f>
        <v/>
      </c>
    </row>
    <row r="293" spans="4:7" x14ac:dyDescent="0.3">
      <c r="D293" t="str">
        <f>IF(Artikel!$B291="","",Artikel!$B291)</f>
        <v/>
      </c>
      <c r="E293" t="str">
        <f>IF($D293="","",SUMIF(Verkäufe!$F:$F,$D293,Verkäufe!$G:$G))</f>
        <v/>
      </c>
      <c r="F293" s="21" t="str">
        <f>IF($D293="","",SUMIF(Verkäufe!$F:$F,$D293,Verkäufe!$J:$J))</f>
        <v/>
      </c>
      <c r="G293" s="21" t="str">
        <f>IF($D293="","",SUMIF(Verkäufe!$F:$F,$D293,Verkäufe!$K:$K))</f>
        <v/>
      </c>
    </row>
    <row r="294" spans="4:7" x14ac:dyDescent="0.3">
      <c r="D294" t="str">
        <f>IF(Artikel!$B292="","",Artikel!$B292)</f>
        <v/>
      </c>
      <c r="E294" t="str">
        <f>IF($D294="","",SUMIF(Verkäufe!$F:$F,$D294,Verkäufe!$G:$G))</f>
        <v/>
      </c>
      <c r="F294" s="21" t="str">
        <f>IF($D294="","",SUMIF(Verkäufe!$F:$F,$D294,Verkäufe!$J:$J))</f>
        <v/>
      </c>
      <c r="G294" s="21" t="str">
        <f>IF($D294="","",SUMIF(Verkäufe!$F:$F,$D294,Verkäufe!$K:$K))</f>
        <v/>
      </c>
    </row>
    <row r="295" spans="4:7" x14ac:dyDescent="0.3">
      <c r="D295" t="str">
        <f>IF(Artikel!$B293="","",Artikel!$B293)</f>
        <v/>
      </c>
      <c r="E295" t="str">
        <f>IF($D295="","",SUMIF(Verkäufe!$F:$F,$D295,Verkäufe!$G:$G))</f>
        <v/>
      </c>
      <c r="F295" s="21" t="str">
        <f>IF($D295="","",SUMIF(Verkäufe!$F:$F,$D295,Verkäufe!$J:$J))</f>
        <v/>
      </c>
      <c r="G295" s="21" t="str">
        <f>IF($D295="","",SUMIF(Verkäufe!$F:$F,$D295,Verkäufe!$K:$K))</f>
        <v/>
      </c>
    </row>
    <row r="296" spans="4:7" x14ac:dyDescent="0.3">
      <c r="D296" t="str">
        <f>IF(Artikel!$B294="","",Artikel!$B294)</f>
        <v/>
      </c>
      <c r="E296" t="str">
        <f>IF($D296="","",SUMIF(Verkäufe!$F:$F,$D296,Verkäufe!$G:$G))</f>
        <v/>
      </c>
      <c r="F296" s="21" t="str">
        <f>IF($D296="","",SUMIF(Verkäufe!$F:$F,$D296,Verkäufe!$J:$J))</f>
        <v/>
      </c>
      <c r="G296" s="21" t="str">
        <f>IF($D296="","",SUMIF(Verkäufe!$F:$F,$D296,Verkäufe!$K:$K))</f>
        <v/>
      </c>
    </row>
    <row r="297" spans="4:7" x14ac:dyDescent="0.3">
      <c r="D297" t="str">
        <f>IF(Artikel!$B295="","",Artikel!$B295)</f>
        <v/>
      </c>
      <c r="E297" t="str">
        <f>IF($D297="","",SUMIF(Verkäufe!$F:$F,$D297,Verkäufe!$G:$G))</f>
        <v/>
      </c>
      <c r="F297" s="21" t="str">
        <f>IF($D297="","",SUMIF(Verkäufe!$F:$F,$D297,Verkäufe!$J:$J))</f>
        <v/>
      </c>
      <c r="G297" s="21" t="str">
        <f>IF($D297="","",SUMIF(Verkäufe!$F:$F,$D297,Verkäufe!$K:$K))</f>
        <v/>
      </c>
    </row>
    <row r="298" spans="4:7" x14ac:dyDescent="0.3">
      <c r="D298" t="str">
        <f>IF(Artikel!$B296="","",Artikel!$B296)</f>
        <v/>
      </c>
      <c r="E298" t="str">
        <f>IF($D298="","",SUMIF(Verkäufe!$F:$F,$D298,Verkäufe!$G:$G))</f>
        <v/>
      </c>
      <c r="F298" s="21" t="str">
        <f>IF($D298="","",SUMIF(Verkäufe!$F:$F,$D298,Verkäufe!$J:$J))</f>
        <v/>
      </c>
      <c r="G298" s="21" t="str">
        <f>IF($D298="","",SUMIF(Verkäufe!$F:$F,$D298,Verkäufe!$K:$K))</f>
        <v/>
      </c>
    </row>
    <row r="299" spans="4:7" x14ac:dyDescent="0.3">
      <c r="D299" t="str">
        <f>IF(Artikel!$B297="","",Artikel!$B297)</f>
        <v/>
      </c>
      <c r="E299" t="str">
        <f>IF($D299="","",SUMIF(Verkäufe!$F:$F,$D299,Verkäufe!$G:$G))</f>
        <v/>
      </c>
      <c r="F299" s="21" t="str">
        <f>IF($D299="","",SUMIF(Verkäufe!$F:$F,$D299,Verkäufe!$J:$J))</f>
        <v/>
      </c>
      <c r="G299" s="21" t="str">
        <f>IF($D299="","",SUMIF(Verkäufe!$F:$F,$D299,Verkäufe!$K:$K))</f>
        <v/>
      </c>
    </row>
    <row r="300" spans="4:7" x14ac:dyDescent="0.3">
      <c r="D300" t="str">
        <f>IF(Artikel!$B298="","",Artikel!$B298)</f>
        <v/>
      </c>
      <c r="E300" t="str">
        <f>IF($D300="","",SUMIF(Verkäufe!$F:$F,$D300,Verkäufe!$G:$G))</f>
        <v/>
      </c>
      <c r="F300" s="21" t="str">
        <f>IF($D300="","",SUMIF(Verkäufe!$F:$F,$D300,Verkäufe!$J:$J))</f>
        <v/>
      </c>
      <c r="G300" s="21" t="str">
        <f>IF($D300="","",SUMIF(Verkäufe!$F:$F,$D300,Verkäufe!$K:$K))</f>
        <v/>
      </c>
    </row>
    <row r="301" spans="4:7" x14ac:dyDescent="0.3">
      <c r="D301" t="str">
        <f>IF(Artikel!$B299="","",Artikel!$B299)</f>
        <v/>
      </c>
      <c r="E301" t="str">
        <f>IF($D301="","",SUMIF(Verkäufe!$F:$F,$D301,Verkäufe!$G:$G))</f>
        <v/>
      </c>
      <c r="F301" s="21" t="str">
        <f>IF($D301="","",SUMIF(Verkäufe!$F:$F,$D301,Verkäufe!$J:$J))</f>
        <v/>
      </c>
      <c r="G301" s="21" t="str">
        <f>IF($D301="","",SUMIF(Verkäufe!$F:$F,$D301,Verkäufe!$K:$K))</f>
        <v/>
      </c>
    </row>
    <row r="302" spans="4:7" x14ac:dyDescent="0.3">
      <c r="D302" t="str">
        <f>IF(Artikel!$B300="","",Artikel!$B300)</f>
        <v/>
      </c>
      <c r="E302" t="str">
        <f>IF($D302="","",SUMIF(Verkäufe!$F:$F,$D302,Verkäufe!$G:$G))</f>
        <v/>
      </c>
      <c r="F302" s="21" t="str">
        <f>IF($D302="","",SUMIF(Verkäufe!$F:$F,$D302,Verkäufe!$J:$J))</f>
        <v/>
      </c>
      <c r="G302" s="21" t="str">
        <f>IF($D302="","",SUMIF(Verkäufe!$F:$F,$D302,Verkäufe!$K:$K))</f>
        <v/>
      </c>
    </row>
    <row r="303" spans="4:7" x14ac:dyDescent="0.3">
      <c r="D303" t="str">
        <f>IF(Artikel!$B301="","",Artikel!$B301)</f>
        <v/>
      </c>
      <c r="E303" t="str">
        <f>IF($D303="","",SUMIF(Verkäufe!$F:$F,$D303,Verkäufe!$G:$G))</f>
        <v/>
      </c>
      <c r="F303" s="21" t="str">
        <f>IF($D303="","",SUMIF(Verkäufe!$F:$F,$D303,Verkäufe!$J:$J))</f>
        <v/>
      </c>
      <c r="G303" s="21" t="str">
        <f>IF($D303="","",SUMIF(Verkäufe!$F:$F,$D303,Verkäufe!$K:$K))</f>
        <v/>
      </c>
    </row>
    <row r="304" spans="4:7" x14ac:dyDescent="0.3">
      <c r="D304" t="str">
        <f>IF(Artikel!$B302="","",Artikel!$B302)</f>
        <v/>
      </c>
      <c r="E304" t="str">
        <f>IF($D304="","",SUMIF(Verkäufe!$F:$F,$D304,Verkäufe!$G:$G))</f>
        <v/>
      </c>
      <c r="F304" s="21" t="str">
        <f>IF($D304="","",SUMIF(Verkäufe!$F:$F,$D304,Verkäufe!$J:$J))</f>
        <v/>
      </c>
      <c r="G304" s="21" t="str">
        <f>IF($D304="","",SUMIF(Verkäufe!$F:$F,$D304,Verkäufe!$K:$K))</f>
        <v/>
      </c>
    </row>
    <row r="305" spans="4:7" x14ac:dyDescent="0.3">
      <c r="D305" t="str">
        <f>IF(Artikel!$B303="","",Artikel!$B303)</f>
        <v/>
      </c>
      <c r="E305" t="str">
        <f>IF($D305="","",SUMIF(Verkäufe!$F:$F,$D305,Verkäufe!$G:$G))</f>
        <v/>
      </c>
      <c r="F305" s="21" t="str">
        <f>IF($D305="","",SUMIF(Verkäufe!$F:$F,$D305,Verkäufe!$J:$J))</f>
        <v/>
      </c>
      <c r="G305" s="21" t="str">
        <f>IF($D305="","",SUMIF(Verkäufe!$F:$F,$D305,Verkäufe!$K:$K))</f>
        <v/>
      </c>
    </row>
    <row r="306" spans="4:7" x14ac:dyDescent="0.3">
      <c r="D306" t="str">
        <f>IF(Artikel!$B304="","",Artikel!$B304)</f>
        <v/>
      </c>
      <c r="E306" t="str">
        <f>IF($D306="","",SUMIF(Verkäufe!$F:$F,$D306,Verkäufe!$G:$G))</f>
        <v/>
      </c>
      <c r="F306" s="21" t="str">
        <f>IF($D306="","",SUMIF(Verkäufe!$F:$F,$D306,Verkäufe!$J:$J))</f>
        <v/>
      </c>
      <c r="G306" s="21" t="str">
        <f>IF($D306="","",SUMIF(Verkäufe!$F:$F,$D306,Verkäufe!$K:$K))</f>
        <v/>
      </c>
    </row>
    <row r="307" spans="4:7" x14ac:dyDescent="0.3">
      <c r="D307" t="str">
        <f>IF(Artikel!$B305="","",Artikel!$B305)</f>
        <v/>
      </c>
      <c r="E307" t="str">
        <f>IF($D307="","",SUMIF(Verkäufe!$F:$F,$D307,Verkäufe!$G:$G))</f>
        <v/>
      </c>
      <c r="F307" s="21" t="str">
        <f>IF($D307="","",SUMIF(Verkäufe!$F:$F,$D307,Verkäufe!$J:$J))</f>
        <v/>
      </c>
      <c r="G307" s="21" t="str">
        <f>IF($D307="","",SUMIF(Verkäufe!$F:$F,$D307,Verkäufe!$K:$K))</f>
        <v/>
      </c>
    </row>
    <row r="308" spans="4:7" x14ac:dyDescent="0.3">
      <c r="D308" t="str">
        <f>IF(Artikel!$B306="","",Artikel!$B306)</f>
        <v/>
      </c>
      <c r="E308" t="str">
        <f>IF($D308="","",SUMIF(Verkäufe!$F:$F,$D308,Verkäufe!$G:$G))</f>
        <v/>
      </c>
      <c r="F308" s="21" t="str">
        <f>IF($D308="","",SUMIF(Verkäufe!$F:$F,$D308,Verkäufe!$J:$J))</f>
        <v/>
      </c>
      <c r="G308" s="21" t="str">
        <f>IF($D308="","",SUMIF(Verkäufe!$F:$F,$D308,Verkäufe!$K:$K))</f>
        <v/>
      </c>
    </row>
    <row r="309" spans="4:7" x14ac:dyDescent="0.3">
      <c r="D309" t="str">
        <f>IF(Artikel!$B307="","",Artikel!$B307)</f>
        <v/>
      </c>
      <c r="E309" t="str">
        <f>IF($D309="","",SUMIF(Verkäufe!$F:$F,$D309,Verkäufe!$G:$G))</f>
        <v/>
      </c>
      <c r="F309" s="21" t="str">
        <f>IF($D309="","",SUMIF(Verkäufe!$F:$F,$D309,Verkäufe!$J:$J))</f>
        <v/>
      </c>
      <c r="G309" s="21" t="str">
        <f>IF($D309="","",SUMIF(Verkäufe!$F:$F,$D309,Verkäufe!$K:$K))</f>
        <v/>
      </c>
    </row>
    <row r="310" spans="4:7" x14ac:dyDescent="0.3">
      <c r="D310" t="str">
        <f>IF(Artikel!$B308="","",Artikel!$B308)</f>
        <v/>
      </c>
      <c r="E310" t="str">
        <f>IF($D310="","",SUMIF(Verkäufe!$F:$F,$D310,Verkäufe!$G:$G))</f>
        <v/>
      </c>
      <c r="F310" s="21" t="str">
        <f>IF($D310="","",SUMIF(Verkäufe!$F:$F,$D310,Verkäufe!$J:$J))</f>
        <v/>
      </c>
      <c r="G310" s="21" t="str">
        <f>IF($D310="","",SUMIF(Verkäufe!$F:$F,$D310,Verkäufe!$K:$K))</f>
        <v/>
      </c>
    </row>
    <row r="311" spans="4:7" x14ac:dyDescent="0.3">
      <c r="D311" t="str">
        <f>IF(Artikel!$B309="","",Artikel!$B309)</f>
        <v/>
      </c>
      <c r="E311" t="str">
        <f>IF($D311="","",SUMIF(Verkäufe!$F:$F,$D311,Verkäufe!$G:$G))</f>
        <v/>
      </c>
      <c r="F311" s="21" t="str">
        <f>IF($D311="","",SUMIF(Verkäufe!$F:$F,$D311,Verkäufe!$J:$J))</f>
        <v/>
      </c>
      <c r="G311" s="21" t="str">
        <f>IF($D311="","",SUMIF(Verkäufe!$F:$F,$D311,Verkäufe!$K:$K))</f>
        <v/>
      </c>
    </row>
    <row r="312" spans="4:7" x14ac:dyDescent="0.3">
      <c r="D312" t="str">
        <f>IF(Artikel!$B310="","",Artikel!$B310)</f>
        <v/>
      </c>
      <c r="E312" t="str">
        <f>IF($D312="","",SUMIF(Verkäufe!$F:$F,$D312,Verkäufe!$G:$G))</f>
        <v/>
      </c>
      <c r="F312" s="21" t="str">
        <f>IF($D312="","",SUMIF(Verkäufe!$F:$F,$D312,Verkäufe!$J:$J))</f>
        <v/>
      </c>
      <c r="G312" s="21" t="str">
        <f>IF($D312="","",SUMIF(Verkäufe!$F:$F,$D312,Verkäufe!$K:$K))</f>
        <v/>
      </c>
    </row>
    <row r="313" spans="4:7" x14ac:dyDescent="0.3">
      <c r="D313" t="str">
        <f>IF(Artikel!$B311="","",Artikel!$B311)</f>
        <v/>
      </c>
      <c r="E313" t="str">
        <f>IF($D313="","",SUMIF(Verkäufe!$F:$F,$D313,Verkäufe!$G:$G))</f>
        <v/>
      </c>
      <c r="F313" s="21" t="str">
        <f>IF($D313="","",SUMIF(Verkäufe!$F:$F,$D313,Verkäufe!$J:$J))</f>
        <v/>
      </c>
      <c r="G313" s="21" t="str">
        <f>IF($D313="","",SUMIF(Verkäufe!$F:$F,$D313,Verkäufe!$K:$K))</f>
        <v/>
      </c>
    </row>
    <row r="314" spans="4:7" x14ac:dyDescent="0.3">
      <c r="D314" t="str">
        <f>IF(Artikel!$B312="","",Artikel!$B312)</f>
        <v/>
      </c>
      <c r="E314" t="str">
        <f>IF($D314="","",SUMIF(Verkäufe!$F:$F,$D314,Verkäufe!$G:$G))</f>
        <v/>
      </c>
      <c r="F314" s="21" t="str">
        <f>IF($D314="","",SUMIF(Verkäufe!$F:$F,$D314,Verkäufe!$J:$J))</f>
        <v/>
      </c>
      <c r="G314" s="21" t="str">
        <f>IF($D314="","",SUMIF(Verkäufe!$F:$F,$D314,Verkäufe!$K:$K))</f>
        <v/>
      </c>
    </row>
    <row r="315" spans="4:7" x14ac:dyDescent="0.3">
      <c r="D315" t="str">
        <f>IF(Artikel!$B313="","",Artikel!$B313)</f>
        <v/>
      </c>
      <c r="E315" t="str">
        <f>IF($D315="","",SUMIF(Verkäufe!$F:$F,$D315,Verkäufe!$G:$G))</f>
        <v/>
      </c>
      <c r="F315" s="21" t="str">
        <f>IF($D315="","",SUMIF(Verkäufe!$F:$F,$D315,Verkäufe!$J:$J))</f>
        <v/>
      </c>
      <c r="G315" s="21" t="str">
        <f>IF($D315="","",SUMIF(Verkäufe!$F:$F,$D315,Verkäufe!$K:$K))</f>
        <v/>
      </c>
    </row>
    <row r="316" spans="4:7" x14ac:dyDescent="0.3">
      <c r="D316" t="str">
        <f>IF(Artikel!$B314="","",Artikel!$B314)</f>
        <v/>
      </c>
      <c r="E316" t="str">
        <f>IF($D316="","",SUMIF(Verkäufe!$F:$F,$D316,Verkäufe!$G:$G))</f>
        <v/>
      </c>
      <c r="F316" s="21" t="str">
        <f>IF($D316="","",SUMIF(Verkäufe!$F:$F,$D316,Verkäufe!$J:$J))</f>
        <v/>
      </c>
      <c r="G316" s="21" t="str">
        <f>IF($D316="","",SUMIF(Verkäufe!$F:$F,$D316,Verkäufe!$K:$K))</f>
        <v/>
      </c>
    </row>
    <row r="317" spans="4:7" x14ac:dyDescent="0.3">
      <c r="D317" t="str">
        <f>IF(Artikel!$B315="","",Artikel!$B315)</f>
        <v/>
      </c>
      <c r="E317" t="str">
        <f>IF($D317="","",SUMIF(Verkäufe!$F:$F,$D317,Verkäufe!$G:$G))</f>
        <v/>
      </c>
      <c r="F317" s="21" t="str">
        <f>IF($D317="","",SUMIF(Verkäufe!$F:$F,$D317,Verkäufe!$J:$J))</f>
        <v/>
      </c>
      <c r="G317" s="21" t="str">
        <f>IF($D317="","",SUMIF(Verkäufe!$F:$F,$D317,Verkäufe!$K:$K))</f>
        <v/>
      </c>
    </row>
    <row r="318" spans="4:7" x14ac:dyDescent="0.3">
      <c r="D318" t="str">
        <f>IF(Artikel!$B316="","",Artikel!$B316)</f>
        <v/>
      </c>
      <c r="E318" t="str">
        <f>IF($D318="","",SUMIF(Verkäufe!$F:$F,$D318,Verkäufe!$G:$G))</f>
        <v/>
      </c>
      <c r="F318" s="21" t="str">
        <f>IF($D318="","",SUMIF(Verkäufe!$F:$F,$D318,Verkäufe!$J:$J))</f>
        <v/>
      </c>
      <c r="G318" s="21" t="str">
        <f>IF($D318="","",SUMIF(Verkäufe!$F:$F,$D318,Verkäufe!$K:$K))</f>
        <v/>
      </c>
    </row>
    <row r="319" spans="4:7" x14ac:dyDescent="0.3">
      <c r="D319" t="str">
        <f>IF(Artikel!$B317="","",Artikel!$B317)</f>
        <v/>
      </c>
      <c r="E319" t="str">
        <f>IF($D319="","",SUMIF(Verkäufe!$F:$F,$D319,Verkäufe!$G:$G))</f>
        <v/>
      </c>
      <c r="F319" s="21" t="str">
        <f>IF($D319="","",SUMIF(Verkäufe!$F:$F,$D319,Verkäufe!$J:$J))</f>
        <v/>
      </c>
      <c r="G319" s="21" t="str">
        <f>IF($D319="","",SUMIF(Verkäufe!$F:$F,$D319,Verkäufe!$K:$K))</f>
        <v/>
      </c>
    </row>
    <row r="320" spans="4:7" x14ac:dyDescent="0.3">
      <c r="D320" t="str">
        <f>IF(Artikel!$B318="","",Artikel!$B318)</f>
        <v/>
      </c>
      <c r="E320" t="str">
        <f>IF($D320="","",SUMIF(Verkäufe!$F:$F,$D320,Verkäufe!$G:$G))</f>
        <v/>
      </c>
      <c r="F320" s="21" t="str">
        <f>IF($D320="","",SUMIF(Verkäufe!$F:$F,$D320,Verkäufe!$J:$J))</f>
        <v/>
      </c>
      <c r="G320" s="21" t="str">
        <f>IF($D320="","",SUMIF(Verkäufe!$F:$F,$D320,Verkäufe!$K:$K))</f>
        <v/>
      </c>
    </row>
    <row r="321" spans="4:7" x14ac:dyDescent="0.3">
      <c r="D321" t="str">
        <f>IF(Artikel!$B319="","",Artikel!$B319)</f>
        <v/>
      </c>
      <c r="E321" t="str">
        <f>IF($D321="","",SUMIF(Verkäufe!$F:$F,$D321,Verkäufe!$G:$G))</f>
        <v/>
      </c>
      <c r="F321" s="21" t="str">
        <f>IF($D321="","",SUMIF(Verkäufe!$F:$F,$D321,Verkäufe!$J:$J))</f>
        <v/>
      </c>
      <c r="G321" s="21" t="str">
        <f>IF($D321="","",SUMIF(Verkäufe!$F:$F,$D321,Verkäufe!$K:$K))</f>
        <v/>
      </c>
    </row>
    <row r="322" spans="4:7" x14ac:dyDescent="0.3">
      <c r="D322" t="str">
        <f>IF(Artikel!$B320="","",Artikel!$B320)</f>
        <v/>
      </c>
      <c r="E322" t="str">
        <f>IF($D322="","",SUMIF(Verkäufe!$F:$F,$D322,Verkäufe!$G:$G))</f>
        <v/>
      </c>
      <c r="F322" s="21" t="str">
        <f>IF($D322="","",SUMIF(Verkäufe!$F:$F,$D322,Verkäufe!$J:$J))</f>
        <v/>
      </c>
      <c r="G322" s="21" t="str">
        <f>IF($D322="","",SUMIF(Verkäufe!$F:$F,$D322,Verkäufe!$K:$K))</f>
        <v/>
      </c>
    </row>
    <row r="323" spans="4:7" x14ac:dyDescent="0.3">
      <c r="D323" t="str">
        <f>IF(Artikel!$B321="","",Artikel!$B321)</f>
        <v/>
      </c>
      <c r="E323" t="str">
        <f>IF($D323="","",SUMIF(Verkäufe!$F:$F,$D323,Verkäufe!$G:$G))</f>
        <v/>
      </c>
      <c r="F323" s="21" t="str">
        <f>IF($D323="","",SUMIF(Verkäufe!$F:$F,$D323,Verkäufe!$J:$J))</f>
        <v/>
      </c>
      <c r="G323" s="21" t="str">
        <f>IF($D323="","",SUMIF(Verkäufe!$F:$F,$D323,Verkäufe!$K:$K))</f>
        <v/>
      </c>
    </row>
    <row r="324" spans="4:7" x14ac:dyDescent="0.3">
      <c r="D324" t="str">
        <f>IF(Artikel!$B322="","",Artikel!$B322)</f>
        <v/>
      </c>
      <c r="E324" t="str">
        <f>IF($D324="","",SUMIF(Verkäufe!$F:$F,$D324,Verkäufe!$G:$G))</f>
        <v/>
      </c>
      <c r="F324" s="21" t="str">
        <f>IF($D324="","",SUMIF(Verkäufe!$F:$F,$D324,Verkäufe!$J:$J))</f>
        <v/>
      </c>
      <c r="G324" s="21" t="str">
        <f>IF($D324="","",SUMIF(Verkäufe!$F:$F,$D324,Verkäufe!$K:$K))</f>
        <v/>
      </c>
    </row>
    <row r="325" spans="4:7" x14ac:dyDescent="0.3">
      <c r="D325" t="str">
        <f>IF(Artikel!$B323="","",Artikel!$B323)</f>
        <v/>
      </c>
      <c r="E325" t="str">
        <f>IF($D325="","",SUMIF(Verkäufe!$F:$F,$D325,Verkäufe!$G:$G))</f>
        <v/>
      </c>
      <c r="F325" s="21" t="str">
        <f>IF($D325="","",SUMIF(Verkäufe!$F:$F,$D325,Verkäufe!$J:$J))</f>
        <v/>
      </c>
      <c r="G325" s="21" t="str">
        <f>IF($D325="","",SUMIF(Verkäufe!$F:$F,$D325,Verkäufe!$K:$K))</f>
        <v/>
      </c>
    </row>
    <row r="326" spans="4:7" x14ac:dyDescent="0.3">
      <c r="D326" t="str">
        <f>IF(Artikel!$B324="","",Artikel!$B324)</f>
        <v/>
      </c>
      <c r="E326" t="str">
        <f>IF($D326="","",SUMIF(Verkäufe!$F:$F,$D326,Verkäufe!$G:$G))</f>
        <v/>
      </c>
      <c r="F326" s="21" t="str">
        <f>IF($D326="","",SUMIF(Verkäufe!$F:$F,$D326,Verkäufe!$J:$J))</f>
        <v/>
      </c>
      <c r="G326" s="21" t="str">
        <f>IF($D326="","",SUMIF(Verkäufe!$F:$F,$D326,Verkäufe!$K:$K))</f>
        <v/>
      </c>
    </row>
    <row r="327" spans="4:7" x14ac:dyDescent="0.3">
      <c r="D327" t="str">
        <f>IF(Artikel!$B325="","",Artikel!$B325)</f>
        <v/>
      </c>
      <c r="E327" t="str">
        <f>IF($D327="","",SUMIF(Verkäufe!$F:$F,$D327,Verkäufe!$G:$G))</f>
        <v/>
      </c>
      <c r="F327" s="21" t="str">
        <f>IF($D327="","",SUMIF(Verkäufe!$F:$F,$D327,Verkäufe!$J:$J))</f>
        <v/>
      </c>
      <c r="G327" s="21" t="str">
        <f>IF($D327="","",SUMIF(Verkäufe!$F:$F,$D327,Verkäufe!$K:$K))</f>
        <v/>
      </c>
    </row>
    <row r="328" spans="4:7" x14ac:dyDescent="0.3">
      <c r="D328" t="str">
        <f>IF(Artikel!$B326="","",Artikel!$B326)</f>
        <v/>
      </c>
      <c r="E328" t="str">
        <f>IF($D328="","",SUMIF(Verkäufe!$F:$F,$D328,Verkäufe!$G:$G))</f>
        <v/>
      </c>
      <c r="F328" s="21" t="str">
        <f>IF($D328="","",SUMIF(Verkäufe!$F:$F,$D328,Verkäufe!$J:$J))</f>
        <v/>
      </c>
      <c r="G328" s="21" t="str">
        <f>IF($D328="","",SUMIF(Verkäufe!$F:$F,$D328,Verkäufe!$K:$K))</f>
        <v/>
      </c>
    </row>
    <row r="329" spans="4:7" x14ac:dyDescent="0.3">
      <c r="D329" t="str">
        <f>IF(Artikel!$B327="","",Artikel!$B327)</f>
        <v/>
      </c>
      <c r="E329" t="str">
        <f>IF($D329="","",SUMIF(Verkäufe!$F:$F,$D329,Verkäufe!$G:$G))</f>
        <v/>
      </c>
      <c r="F329" s="21" t="str">
        <f>IF($D329="","",SUMIF(Verkäufe!$F:$F,$D329,Verkäufe!$J:$J))</f>
        <v/>
      </c>
      <c r="G329" s="21" t="str">
        <f>IF($D329="","",SUMIF(Verkäufe!$F:$F,$D329,Verkäufe!$K:$K))</f>
        <v/>
      </c>
    </row>
    <row r="330" spans="4:7" x14ac:dyDescent="0.3">
      <c r="D330" t="str">
        <f>IF(Artikel!$B328="","",Artikel!$B328)</f>
        <v/>
      </c>
      <c r="E330" t="str">
        <f>IF($D330="","",SUMIF(Verkäufe!$F:$F,$D330,Verkäufe!$G:$G))</f>
        <v/>
      </c>
      <c r="F330" s="21" t="str">
        <f>IF($D330="","",SUMIF(Verkäufe!$F:$F,$D330,Verkäufe!$J:$J))</f>
        <v/>
      </c>
      <c r="G330" s="21" t="str">
        <f>IF($D330="","",SUMIF(Verkäufe!$F:$F,$D330,Verkäufe!$K:$K))</f>
        <v/>
      </c>
    </row>
    <row r="331" spans="4:7" x14ac:dyDescent="0.3">
      <c r="D331" t="str">
        <f>IF(Artikel!$B329="","",Artikel!$B329)</f>
        <v/>
      </c>
      <c r="E331" t="str">
        <f>IF($D331="","",SUMIF(Verkäufe!$F:$F,$D331,Verkäufe!$G:$G))</f>
        <v/>
      </c>
      <c r="F331" s="21" t="str">
        <f>IF($D331="","",SUMIF(Verkäufe!$F:$F,$D331,Verkäufe!$J:$J))</f>
        <v/>
      </c>
      <c r="G331" s="21" t="str">
        <f>IF($D331="","",SUMIF(Verkäufe!$F:$F,$D331,Verkäufe!$K:$K))</f>
        <v/>
      </c>
    </row>
    <row r="332" spans="4:7" x14ac:dyDescent="0.3">
      <c r="D332" t="str">
        <f>IF(Artikel!$B330="","",Artikel!$B330)</f>
        <v/>
      </c>
      <c r="E332" t="str">
        <f>IF($D332="","",SUMIF(Verkäufe!$F:$F,$D332,Verkäufe!$G:$G))</f>
        <v/>
      </c>
      <c r="F332" s="21" t="str">
        <f>IF($D332="","",SUMIF(Verkäufe!$F:$F,$D332,Verkäufe!$J:$J))</f>
        <v/>
      </c>
      <c r="G332" s="21" t="str">
        <f>IF($D332="","",SUMIF(Verkäufe!$F:$F,$D332,Verkäufe!$K:$K))</f>
        <v/>
      </c>
    </row>
    <row r="333" spans="4:7" x14ac:dyDescent="0.3">
      <c r="D333" t="str">
        <f>IF(Artikel!$B331="","",Artikel!$B331)</f>
        <v/>
      </c>
      <c r="E333" t="str">
        <f>IF($D333="","",SUMIF(Verkäufe!$F:$F,$D333,Verkäufe!$G:$G))</f>
        <v/>
      </c>
      <c r="F333" s="21" t="str">
        <f>IF($D333="","",SUMIF(Verkäufe!$F:$F,$D333,Verkäufe!$J:$J))</f>
        <v/>
      </c>
      <c r="G333" s="21" t="str">
        <f>IF($D333="","",SUMIF(Verkäufe!$F:$F,$D333,Verkäufe!$K:$K))</f>
        <v/>
      </c>
    </row>
    <row r="334" spans="4:7" x14ac:dyDescent="0.3">
      <c r="D334" t="str">
        <f>IF(Artikel!$B332="","",Artikel!$B332)</f>
        <v/>
      </c>
      <c r="E334" t="str">
        <f>IF($D334="","",SUMIF(Verkäufe!$F:$F,$D334,Verkäufe!$G:$G))</f>
        <v/>
      </c>
      <c r="F334" s="21" t="str">
        <f>IF($D334="","",SUMIF(Verkäufe!$F:$F,$D334,Verkäufe!$J:$J))</f>
        <v/>
      </c>
      <c r="G334" s="21" t="str">
        <f>IF($D334="","",SUMIF(Verkäufe!$F:$F,$D334,Verkäufe!$K:$K))</f>
        <v/>
      </c>
    </row>
    <row r="335" spans="4:7" x14ac:dyDescent="0.3">
      <c r="D335" t="str">
        <f>IF(Artikel!$B333="","",Artikel!$B333)</f>
        <v/>
      </c>
      <c r="E335" t="str">
        <f>IF($D335="","",SUMIF(Verkäufe!$F:$F,$D335,Verkäufe!$G:$G))</f>
        <v/>
      </c>
      <c r="F335" s="21" t="str">
        <f>IF($D335="","",SUMIF(Verkäufe!$F:$F,$D335,Verkäufe!$J:$J))</f>
        <v/>
      </c>
      <c r="G335" s="21" t="str">
        <f>IF($D335="","",SUMIF(Verkäufe!$F:$F,$D335,Verkäufe!$K:$K))</f>
        <v/>
      </c>
    </row>
    <row r="336" spans="4:7" x14ac:dyDescent="0.3">
      <c r="D336" t="str">
        <f>IF(Artikel!$B334="","",Artikel!$B334)</f>
        <v/>
      </c>
      <c r="E336" t="str">
        <f>IF($D336="","",SUMIF(Verkäufe!$F:$F,$D336,Verkäufe!$G:$G))</f>
        <v/>
      </c>
      <c r="F336" s="21" t="str">
        <f>IF($D336="","",SUMIF(Verkäufe!$F:$F,$D336,Verkäufe!$J:$J))</f>
        <v/>
      </c>
      <c r="G336" s="21" t="str">
        <f>IF($D336="","",SUMIF(Verkäufe!$F:$F,$D336,Verkäufe!$K:$K))</f>
        <v/>
      </c>
    </row>
    <row r="337" spans="4:7" x14ac:dyDescent="0.3">
      <c r="D337" t="str">
        <f>IF(Artikel!$B335="","",Artikel!$B335)</f>
        <v/>
      </c>
      <c r="E337" t="str">
        <f>IF($D337="","",SUMIF(Verkäufe!$F:$F,$D337,Verkäufe!$G:$G))</f>
        <v/>
      </c>
      <c r="F337" s="21" t="str">
        <f>IF($D337="","",SUMIF(Verkäufe!$F:$F,$D337,Verkäufe!$J:$J))</f>
        <v/>
      </c>
      <c r="G337" s="21" t="str">
        <f>IF($D337="","",SUMIF(Verkäufe!$F:$F,$D337,Verkäufe!$K:$K))</f>
        <v/>
      </c>
    </row>
    <row r="338" spans="4:7" x14ac:dyDescent="0.3">
      <c r="D338" t="str">
        <f>IF(Artikel!$B336="","",Artikel!$B336)</f>
        <v/>
      </c>
      <c r="E338" t="str">
        <f>IF($D338="","",SUMIF(Verkäufe!$F:$F,$D338,Verkäufe!$G:$G))</f>
        <v/>
      </c>
      <c r="F338" s="21" t="str">
        <f>IF($D338="","",SUMIF(Verkäufe!$F:$F,$D338,Verkäufe!$J:$J))</f>
        <v/>
      </c>
      <c r="G338" s="21" t="str">
        <f>IF($D338="","",SUMIF(Verkäufe!$F:$F,$D338,Verkäufe!$K:$K))</f>
        <v/>
      </c>
    </row>
    <row r="339" spans="4:7" x14ac:dyDescent="0.3">
      <c r="D339" t="str">
        <f>IF(Artikel!$B337="","",Artikel!$B337)</f>
        <v/>
      </c>
      <c r="E339" t="str">
        <f>IF($D339="","",SUMIF(Verkäufe!$F:$F,$D339,Verkäufe!$G:$G))</f>
        <v/>
      </c>
      <c r="F339" s="21" t="str">
        <f>IF($D339="","",SUMIF(Verkäufe!$F:$F,$D339,Verkäufe!$J:$J))</f>
        <v/>
      </c>
      <c r="G339" s="21" t="str">
        <f>IF($D339="","",SUMIF(Verkäufe!$F:$F,$D339,Verkäufe!$K:$K))</f>
        <v/>
      </c>
    </row>
    <row r="340" spans="4:7" x14ac:dyDescent="0.3">
      <c r="D340" t="str">
        <f>IF(Artikel!$B338="","",Artikel!$B338)</f>
        <v/>
      </c>
      <c r="E340" t="str">
        <f>IF($D340="","",SUMIF(Verkäufe!$F:$F,$D340,Verkäufe!$G:$G))</f>
        <v/>
      </c>
      <c r="F340" s="21" t="str">
        <f>IF($D340="","",SUMIF(Verkäufe!$F:$F,$D340,Verkäufe!$J:$J))</f>
        <v/>
      </c>
      <c r="G340" s="21" t="str">
        <f>IF($D340="","",SUMIF(Verkäufe!$F:$F,$D340,Verkäufe!$K:$K))</f>
        <v/>
      </c>
    </row>
    <row r="341" spans="4:7" x14ac:dyDescent="0.3">
      <c r="D341" t="str">
        <f>IF(Artikel!$B339="","",Artikel!$B339)</f>
        <v/>
      </c>
      <c r="E341" t="str">
        <f>IF($D341="","",SUMIF(Verkäufe!$F:$F,$D341,Verkäufe!$G:$G))</f>
        <v/>
      </c>
      <c r="F341" s="21" t="str">
        <f>IF($D341="","",SUMIF(Verkäufe!$F:$F,$D341,Verkäufe!$J:$J))</f>
        <v/>
      </c>
      <c r="G341" s="21" t="str">
        <f>IF($D341="","",SUMIF(Verkäufe!$F:$F,$D341,Verkäufe!$K:$K))</f>
        <v/>
      </c>
    </row>
    <row r="342" spans="4:7" x14ac:dyDescent="0.3">
      <c r="D342" t="str">
        <f>IF(Artikel!$B340="","",Artikel!$B340)</f>
        <v/>
      </c>
      <c r="E342" t="str">
        <f>IF($D342="","",SUMIF(Verkäufe!$F:$F,$D342,Verkäufe!$G:$G))</f>
        <v/>
      </c>
      <c r="F342" s="21" t="str">
        <f>IF($D342="","",SUMIF(Verkäufe!$F:$F,$D342,Verkäufe!$J:$J))</f>
        <v/>
      </c>
      <c r="G342" s="21" t="str">
        <f>IF($D342="","",SUMIF(Verkäufe!$F:$F,$D342,Verkäufe!$K:$K))</f>
        <v/>
      </c>
    </row>
    <row r="343" spans="4:7" x14ac:dyDescent="0.3">
      <c r="D343" t="str">
        <f>IF(Artikel!$B341="","",Artikel!$B341)</f>
        <v/>
      </c>
      <c r="E343" t="str">
        <f>IF($D343="","",SUMIF(Verkäufe!$F:$F,$D343,Verkäufe!$G:$G))</f>
        <v/>
      </c>
      <c r="F343" s="21" t="str">
        <f>IF($D343="","",SUMIF(Verkäufe!$F:$F,$D343,Verkäufe!$J:$J))</f>
        <v/>
      </c>
      <c r="G343" s="21" t="str">
        <f>IF($D343="","",SUMIF(Verkäufe!$F:$F,$D343,Verkäufe!$K:$K))</f>
        <v/>
      </c>
    </row>
    <row r="344" spans="4:7" x14ac:dyDescent="0.3">
      <c r="D344" t="str">
        <f>IF(Artikel!$B342="","",Artikel!$B342)</f>
        <v/>
      </c>
      <c r="E344" t="str">
        <f>IF($D344="","",SUMIF(Verkäufe!$F:$F,$D344,Verkäufe!$G:$G))</f>
        <v/>
      </c>
      <c r="F344" s="21" t="str">
        <f>IF($D344="","",SUMIF(Verkäufe!$F:$F,$D344,Verkäufe!$J:$J))</f>
        <v/>
      </c>
      <c r="G344" s="21" t="str">
        <f>IF($D344="","",SUMIF(Verkäufe!$F:$F,$D344,Verkäufe!$K:$K))</f>
        <v/>
      </c>
    </row>
    <row r="345" spans="4:7" x14ac:dyDescent="0.3">
      <c r="D345" t="str">
        <f>IF(Artikel!$B343="","",Artikel!$B343)</f>
        <v/>
      </c>
      <c r="E345" t="str">
        <f>IF($D345="","",SUMIF(Verkäufe!$F:$F,$D345,Verkäufe!$G:$G))</f>
        <v/>
      </c>
      <c r="F345" s="21" t="str">
        <f>IF($D345="","",SUMIF(Verkäufe!$F:$F,$D345,Verkäufe!$J:$J))</f>
        <v/>
      </c>
      <c r="G345" s="21" t="str">
        <f>IF($D345="","",SUMIF(Verkäufe!$F:$F,$D345,Verkäufe!$K:$K))</f>
        <v/>
      </c>
    </row>
    <row r="346" spans="4:7" x14ac:dyDescent="0.3">
      <c r="D346" t="str">
        <f>IF(Artikel!$B344="","",Artikel!$B344)</f>
        <v/>
      </c>
      <c r="E346" t="str">
        <f>IF($D346="","",SUMIF(Verkäufe!$F:$F,$D346,Verkäufe!$G:$G))</f>
        <v/>
      </c>
      <c r="F346" s="21" t="str">
        <f>IF($D346="","",SUMIF(Verkäufe!$F:$F,$D346,Verkäufe!$J:$J))</f>
        <v/>
      </c>
      <c r="G346" s="21" t="str">
        <f>IF($D346="","",SUMIF(Verkäufe!$F:$F,$D346,Verkäufe!$K:$K))</f>
        <v/>
      </c>
    </row>
    <row r="347" spans="4:7" x14ac:dyDescent="0.3">
      <c r="D347" t="str">
        <f>IF(Artikel!$B345="","",Artikel!$B345)</f>
        <v/>
      </c>
      <c r="E347" t="str">
        <f>IF($D347="","",SUMIF(Verkäufe!$F:$F,$D347,Verkäufe!$G:$G))</f>
        <v/>
      </c>
      <c r="F347" s="21" t="str">
        <f>IF($D347="","",SUMIF(Verkäufe!$F:$F,$D347,Verkäufe!$J:$J))</f>
        <v/>
      </c>
      <c r="G347" s="21" t="str">
        <f>IF($D347="","",SUMIF(Verkäufe!$F:$F,$D347,Verkäufe!$K:$K))</f>
        <v/>
      </c>
    </row>
    <row r="348" spans="4:7" x14ac:dyDescent="0.3">
      <c r="D348" t="str">
        <f>IF(Artikel!$B346="","",Artikel!$B346)</f>
        <v/>
      </c>
      <c r="E348" t="str">
        <f>IF($D348="","",SUMIF(Verkäufe!$F:$F,$D348,Verkäufe!$G:$G))</f>
        <v/>
      </c>
      <c r="F348" s="21" t="str">
        <f>IF($D348="","",SUMIF(Verkäufe!$F:$F,$D348,Verkäufe!$J:$J))</f>
        <v/>
      </c>
      <c r="G348" s="21" t="str">
        <f>IF($D348="","",SUMIF(Verkäufe!$F:$F,$D348,Verkäufe!$K:$K))</f>
        <v/>
      </c>
    </row>
    <row r="349" spans="4:7" x14ac:dyDescent="0.3">
      <c r="D349" t="str">
        <f>IF(Artikel!$B347="","",Artikel!$B347)</f>
        <v/>
      </c>
      <c r="E349" t="str">
        <f>IF($D349="","",SUMIF(Verkäufe!$F:$F,$D349,Verkäufe!$G:$G))</f>
        <v/>
      </c>
      <c r="F349" s="21" t="str">
        <f>IF($D349="","",SUMIF(Verkäufe!$F:$F,$D349,Verkäufe!$J:$J))</f>
        <v/>
      </c>
      <c r="G349" s="21" t="str">
        <f>IF($D349="","",SUMIF(Verkäufe!$F:$F,$D349,Verkäufe!$K:$K))</f>
        <v/>
      </c>
    </row>
    <row r="350" spans="4:7" x14ac:dyDescent="0.3">
      <c r="D350" t="str">
        <f>IF(Artikel!$B348="","",Artikel!$B348)</f>
        <v/>
      </c>
      <c r="E350" t="str">
        <f>IF($D350="","",SUMIF(Verkäufe!$F:$F,$D350,Verkäufe!$G:$G))</f>
        <v/>
      </c>
      <c r="F350" s="21" t="str">
        <f>IF($D350="","",SUMIF(Verkäufe!$F:$F,$D350,Verkäufe!$J:$J))</f>
        <v/>
      </c>
      <c r="G350" s="21" t="str">
        <f>IF($D350="","",SUMIF(Verkäufe!$F:$F,$D350,Verkäufe!$K:$K))</f>
        <v/>
      </c>
    </row>
    <row r="351" spans="4:7" x14ac:dyDescent="0.3">
      <c r="D351" t="str">
        <f>IF(Artikel!$B349="","",Artikel!$B349)</f>
        <v/>
      </c>
      <c r="E351" t="str">
        <f>IF($D351="","",SUMIF(Verkäufe!$F:$F,$D351,Verkäufe!$G:$G))</f>
        <v/>
      </c>
      <c r="F351" s="21" t="str">
        <f>IF($D351="","",SUMIF(Verkäufe!$F:$F,$D351,Verkäufe!$J:$J))</f>
        <v/>
      </c>
      <c r="G351" s="21" t="str">
        <f>IF($D351="","",SUMIF(Verkäufe!$F:$F,$D351,Verkäufe!$K:$K))</f>
        <v/>
      </c>
    </row>
    <row r="352" spans="4:7" x14ac:dyDescent="0.3">
      <c r="D352" t="str">
        <f>IF(Artikel!$B350="","",Artikel!$B350)</f>
        <v/>
      </c>
      <c r="E352" t="str">
        <f>IF($D352="","",SUMIF(Verkäufe!$F:$F,$D352,Verkäufe!$G:$G))</f>
        <v/>
      </c>
      <c r="F352" s="21" t="str">
        <f>IF($D352="","",SUMIF(Verkäufe!$F:$F,$D352,Verkäufe!$J:$J))</f>
        <v/>
      </c>
      <c r="G352" s="21" t="str">
        <f>IF($D352="","",SUMIF(Verkäufe!$F:$F,$D352,Verkäufe!$K:$K))</f>
        <v/>
      </c>
    </row>
    <row r="353" spans="4:7" x14ac:dyDescent="0.3">
      <c r="D353" t="str">
        <f>IF(Artikel!$B351="","",Artikel!$B351)</f>
        <v/>
      </c>
      <c r="E353" t="str">
        <f>IF($D353="","",SUMIF(Verkäufe!$F:$F,$D353,Verkäufe!$G:$G))</f>
        <v/>
      </c>
      <c r="F353" s="21" t="str">
        <f>IF($D353="","",SUMIF(Verkäufe!$F:$F,$D353,Verkäufe!$J:$J))</f>
        <v/>
      </c>
      <c r="G353" s="21" t="str">
        <f>IF($D353="","",SUMIF(Verkäufe!$F:$F,$D353,Verkäufe!$K:$K))</f>
        <v/>
      </c>
    </row>
    <row r="354" spans="4:7" x14ac:dyDescent="0.3">
      <c r="D354" t="str">
        <f>IF(Artikel!$B352="","",Artikel!$B352)</f>
        <v/>
      </c>
      <c r="E354" t="str">
        <f>IF($D354="","",SUMIF(Verkäufe!$F:$F,$D354,Verkäufe!$G:$G))</f>
        <v/>
      </c>
      <c r="F354" s="21" t="str">
        <f>IF($D354="","",SUMIF(Verkäufe!$F:$F,$D354,Verkäufe!$J:$J))</f>
        <v/>
      </c>
      <c r="G354" s="21" t="str">
        <f>IF($D354="","",SUMIF(Verkäufe!$F:$F,$D354,Verkäufe!$K:$K))</f>
        <v/>
      </c>
    </row>
    <row r="355" spans="4:7" x14ac:dyDescent="0.3">
      <c r="D355" t="str">
        <f>IF(Artikel!$B353="","",Artikel!$B353)</f>
        <v/>
      </c>
      <c r="E355" t="str">
        <f>IF($D355="","",SUMIF(Verkäufe!$F:$F,$D355,Verkäufe!$G:$G))</f>
        <v/>
      </c>
      <c r="F355" s="21" t="str">
        <f>IF($D355="","",SUMIF(Verkäufe!$F:$F,$D355,Verkäufe!$J:$J))</f>
        <v/>
      </c>
      <c r="G355" s="21" t="str">
        <f>IF($D355="","",SUMIF(Verkäufe!$F:$F,$D355,Verkäufe!$K:$K))</f>
        <v/>
      </c>
    </row>
    <row r="356" spans="4:7" x14ac:dyDescent="0.3">
      <c r="D356" t="str">
        <f>IF(Artikel!$B354="","",Artikel!$B354)</f>
        <v/>
      </c>
      <c r="E356" t="str">
        <f>IF($D356="","",SUMIF(Verkäufe!$F:$F,$D356,Verkäufe!$G:$G))</f>
        <v/>
      </c>
      <c r="F356" s="21" t="str">
        <f>IF($D356="","",SUMIF(Verkäufe!$F:$F,$D356,Verkäufe!$J:$J))</f>
        <v/>
      </c>
      <c r="G356" s="21" t="str">
        <f>IF($D356="","",SUMIF(Verkäufe!$F:$F,$D356,Verkäufe!$K:$K))</f>
        <v/>
      </c>
    </row>
    <row r="357" spans="4:7" x14ac:dyDescent="0.3">
      <c r="D357" t="str">
        <f>IF(Artikel!$B355="","",Artikel!$B355)</f>
        <v/>
      </c>
      <c r="E357" t="str">
        <f>IF($D357="","",SUMIF(Verkäufe!$F:$F,$D357,Verkäufe!$G:$G))</f>
        <v/>
      </c>
      <c r="F357" s="21" t="str">
        <f>IF($D357="","",SUMIF(Verkäufe!$F:$F,$D357,Verkäufe!$J:$J))</f>
        <v/>
      </c>
      <c r="G357" s="21" t="str">
        <f>IF($D357="","",SUMIF(Verkäufe!$F:$F,$D357,Verkäufe!$K:$K))</f>
        <v/>
      </c>
    </row>
    <row r="358" spans="4:7" x14ac:dyDescent="0.3">
      <c r="D358" t="str">
        <f>IF(Artikel!$B356="","",Artikel!$B356)</f>
        <v/>
      </c>
      <c r="E358" t="str">
        <f>IF($D358="","",SUMIF(Verkäufe!$F:$F,$D358,Verkäufe!$G:$G))</f>
        <v/>
      </c>
      <c r="F358" s="21" t="str">
        <f>IF($D358="","",SUMIF(Verkäufe!$F:$F,$D358,Verkäufe!$J:$J))</f>
        <v/>
      </c>
      <c r="G358" s="21" t="str">
        <f>IF($D358="","",SUMIF(Verkäufe!$F:$F,$D358,Verkäufe!$K:$K))</f>
        <v/>
      </c>
    </row>
    <row r="359" spans="4:7" x14ac:dyDescent="0.3">
      <c r="D359" t="str">
        <f>IF(Artikel!$B357="","",Artikel!$B357)</f>
        <v/>
      </c>
      <c r="E359" t="str">
        <f>IF($D359="","",SUMIF(Verkäufe!$F:$F,$D359,Verkäufe!$G:$G))</f>
        <v/>
      </c>
      <c r="F359" s="21" t="str">
        <f>IF($D359="","",SUMIF(Verkäufe!$F:$F,$D359,Verkäufe!$J:$J))</f>
        <v/>
      </c>
      <c r="G359" s="21" t="str">
        <f>IF($D359="","",SUMIF(Verkäufe!$F:$F,$D359,Verkäufe!$K:$K))</f>
        <v/>
      </c>
    </row>
    <row r="360" spans="4:7" x14ac:dyDescent="0.3">
      <c r="D360" t="str">
        <f>IF(Artikel!$B358="","",Artikel!$B358)</f>
        <v/>
      </c>
      <c r="E360" t="str">
        <f>IF($D360="","",SUMIF(Verkäufe!$F:$F,$D360,Verkäufe!$G:$G))</f>
        <v/>
      </c>
      <c r="F360" s="21" t="str">
        <f>IF($D360="","",SUMIF(Verkäufe!$F:$F,$D360,Verkäufe!$J:$J))</f>
        <v/>
      </c>
      <c r="G360" s="21" t="str">
        <f>IF($D360="","",SUMIF(Verkäufe!$F:$F,$D360,Verkäufe!$K:$K))</f>
        <v/>
      </c>
    </row>
    <row r="361" spans="4:7" x14ac:dyDescent="0.3">
      <c r="D361" t="str">
        <f>IF(Artikel!$B359="","",Artikel!$B359)</f>
        <v/>
      </c>
      <c r="E361" t="str">
        <f>IF($D361="","",SUMIF(Verkäufe!$F:$F,$D361,Verkäufe!$G:$G))</f>
        <v/>
      </c>
      <c r="F361" s="21" t="str">
        <f>IF($D361="","",SUMIF(Verkäufe!$F:$F,$D361,Verkäufe!$J:$J))</f>
        <v/>
      </c>
      <c r="G361" s="21" t="str">
        <f>IF($D361="","",SUMIF(Verkäufe!$F:$F,$D361,Verkäufe!$K:$K))</f>
        <v/>
      </c>
    </row>
    <row r="362" spans="4:7" x14ac:dyDescent="0.3">
      <c r="D362" t="str">
        <f>IF(Artikel!$B360="","",Artikel!$B360)</f>
        <v/>
      </c>
      <c r="E362" t="str">
        <f>IF($D362="","",SUMIF(Verkäufe!$F:$F,$D362,Verkäufe!$G:$G))</f>
        <v/>
      </c>
      <c r="F362" s="21" t="str">
        <f>IF($D362="","",SUMIF(Verkäufe!$F:$F,$D362,Verkäufe!$J:$J))</f>
        <v/>
      </c>
      <c r="G362" s="21" t="str">
        <f>IF($D362="","",SUMIF(Verkäufe!$F:$F,$D362,Verkäufe!$K:$K))</f>
        <v/>
      </c>
    </row>
    <row r="363" spans="4:7" x14ac:dyDescent="0.3">
      <c r="D363" t="str">
        <f>IF(Artikel!$B361="","",Artikel!$B361)</f>
        <v/>
      </c>
      <c r="E363" t="str">
        <f>IF($D363="","",SUMIF(Verkäufe!$F:$F,$D363,Verkäufe!$G:$G))</f>
        <v/>
      </c>
      <c r="F363" s="21" t="str">
        <f>IF($D363="","",SUMIF(Verkäufe!$F:$F,$D363,Verkäufe!$J:$J))</f>
        <v/>
      </c>
      <c r="G363" s="21" t="str">
        <f>IF($D363="","",SUMIF(Verkäufe!$F:$F,$D363,Verkäufe!$K:$K))</f>
        <v/>
      </c>
    </row>
    <row r="364" spans="4:7" x14ac:dyDescent="0.3">
      <c r="D364" t="str">
        <f>IF(Artikel!$B362="","",Artikel!$B362)</f>
        <v/>
      </c>
      <c r="E364" t="str">
        <f>IF($D364="","",SUMIF(Verkäufe!$F:$F,$D364,Verkäufe!$G:$G))</f>
        <v/>
      </c>
      <c r="F364" s="21" t="str">
        <f>IF($D364="","",SUMIF(Verkäufe!$F:$F,$D364,Verkäufe!$J:$J))</f>
        <v/>
      </c>
      <c r="G364" s="21" t="str">
        <f>IF($D364="","",SUMIF(Verkäufe!$F:$F,$D364,Verkäufe!$K:$K))</f>
        <v/>
      </c>
    </row>
    <row r="365" spans="4:7" x14ac:dyDescent="0.3">
      <c r="D365" t="str">
        <f>IF(Artikel!$B363="","",Artikel!$B363)</f>
        <v/>
      </c>
      <c r="E365" t="str">
        <f>IF($D365="","",SUMIF(Verkäufe!$F:$F,$D365,Verkäufe!$G:$G))</f>
        <v/>
      </c>
      <c r="F365" s="21" t="str">
        <f>IF($D365="","",SUMIF(Verkäufe!$F:$F,$D365,Verkäufe!$J:$J))</f>
        <v/>
      </c>
      <c r="G365" s="21" t="str">
        <f>IF($D365="","",SUMIF(Verkäufe!$F:$F,$D365,Verkäufe!$K:$K))</f>
        <v/>
      </c>
    </row>
    <row r="366" spans="4:7" x14ac:dyDescent="0.3">
      <c r="D366" t="str">
        <f>IF(Artikel!$B364="","",Artikel!$B364)</f>
        <v/>
      </c>
      <c r="E366" t="str">
        <f>IF($D366="","",SUMIF(Verkäufe!$F:$F,$D366,Verkäufe!$G:$G))</f>
        <v/>
      </c>
      <c r="F366" s="21" t="str">
        <f>IF($D366="","",SUMIF(Verkäufe!$F:$F,$D366,Verkäufe!$J:$J))</f>
        <v/>
      </c>
      <c r="G366" s="21" t="str">
        <f>IF($D366="","",SUMIF(Verkäufe!$F:$F,$D366,Verkäufe!$K:$K))</f>
        <v/>
      </c>
    </row>
    <row r="367" spans="4:7" x14ac:dyDescent="0.3">
      <c r="D367" t="str">
        <f>IF(Artikel!$B365="","",Artikel!$B365)</f>
        <v/>
      </c>
      <c r="E367" t="str">
        <f>IF($D367="","",SUMIF(Verkäufe!$F:$F,$D367,Verkäufe!$G:$G))</f>
        <v/>
      </c>
      <c r="F367" s="21" t="str">
        <f>IF($D367="","",SUMIF(Verkäufe!$F:$F,$D367,Verkäufe!$J:$J))</f>
        <v/>
      </c>
      <c r="G367" s="21" t="str">
        <f>IF($D367="","",SUMIF(Verkäufe!$F:$F,$D367,Verkäufe!$K:$K))</f>
        <v/>
      </c>
    </row>
    <row r="368" spans="4:7" x14ac:dyDescent="0.3">
      <c r="D368" t="str">
        <f>IF(Artikel!$B366="","",Artikel!$B366)</f>
        <v/>
      </c>
      <c r="E368" t="str">
        <f>IF($D368="","",SUMIF(Verkäufe!$F:$F,$D368,Verkäufe!$G:$G))</f>
        <v/>
      </c>
      <c r="F368" s="21" t="str">
        <f>IF($D368="","",SUMIF(Verkäufe!$F:$F,$D368,Verkäufe!$J:$J))</f>
        <v/>
      </c>
      <c r="G368" s="21" t="str">
        <f>IF($D368="","",SUMIF(Verkäufe!$F:$F,$D368,Verkäufe!$K:$K))</f>
        <v/>
      </c>
    </row>
    <row r="369" spans="4:7" x14ac:dyDescent="0.3">
      <c r="D369" t="str">
        <f>IF(Artikel!$B367="","",Artikel!$B367)</f>
        <v/>
      </c>
      <c r="E369" t="str">
        <f>IF($D369="","",SUMIF(Verkäufe!$F:$F,$D369,Verkäufe!$G:$G))</f>
        <v/>
      </c>
      <c r="F369" s="21" t="str">
        <f>IF($D369="","",SUMIF(Verkäufe!$F:$F,$D369,Verkäufe!$J:$J))</f>
        <v/>
      </c>
      <c r="G369" s="21" t="str">
        <f>IF($D369="","",SUMIF(Verkäufe!$F:$F,$D369,Verkäufe!$K:$K))</f>
        <v/>
      </c>
    </row>
    <row r="370" spans="4:7" x14ac:dyDescent="0.3">
      <c r="D370" t="str">
        <f>IF(Artikel!$B368="","",Artikel!$B368)</f>
        <v/>
      </c>
      <c r="E370" t="str">
        <f>IF($D370="","",SUMIF(Verkäufe!$F:$F,$D370,Verkäufe!$G:$G))</f>
        <v/>
      </c>
      <c r="F370" s="21" t="str">
        <f>IF($D370="","",SUMIF(Verkäufe!$F:$F,$D370,Verkäufe!$J:$J))</f>
        <v/>
      </c>
      <c r="G370" s="21" t="str">
        <f>IF($D370="","",SUMIF(Verkäufe!$F:$F,$D370,Verkäufe!$K:$K))</f>
        <v/>
      </c>
    </row>
    <row r="371" spans="4:7" x14ac:dyDescent="0.3">
      <c r="D371" t="str">
        <f>IF(Artikel!$B369="","",Artikel!$B369)</f>
        <v/>
      </c>
      <c r="E371" t="str">
        <f>IF($D371="","",SUMIF(Verkäufe!$F:$F,$D371,Verkäufe!$G:$G))</f>
        <v/>
      </c>
      <c r="F371" s="21" t="str">
        <f>IF($D371="","",SUMIF(Verkäufe!$F:$F,$D371,Verkäufe!$J:$J))</f>
        <v/>
      </c>
      <c r="G371" s="21" t="str">
        <f>IF($D371="","",SUMIF(Verkäufe!$F:$F,$D371,Verkäufe!$K:$K))</f>
        <v/>
      </c>
    </row>
    <row r="372" spans="4:7" x14ac:dyDescent="0.3">
      <c r="D372" t="str">
        <f>IF(Artikel!$B370="","",Artikel!$B370)</f>
        <v/>
      </c>
      <c r="E372" t="str">
        <f>IF($D372="","",SUMIF(Verkäufe!$F:$F,$D372,Verkäufe!$G:$G))</f>
        <v/>
      </c>
      <c r="F372" s="21" t="str">
        <f>IF($D372="","",SUMIF(Verkäufe!$F:$F,$D372,Verkäufe!$J:$J))</f>
        <v/>
      </c>
      <c r="G372" s="21" t="str">
        <f>IF($D372="","",SUMIF(Verkäufe!$F:$F,$D372,Verkäufe!$K:$K))</f>
        <v/>
      </c>
    </row>
    <row r="373" spans="4:7" x14ac:dyDescent="0.3">
      <c r="D373" t="str">
        <f>IF(Artikel!$B371="","",Artikel!$B371)</f>
        <v/>
      </c>
      <c r="E373" t="str">
        <f>IF($D373="","",SUMIF(Verkäufe!$F:$F,$D373,Verkäufe!$G:$G))</f>
        <v/>
      </c>
      <c r="F373" s="21" t="str">
        <f>IF($D373="","",SUMIF(Verkäufe!$F:$F,$D373,Verkäufe!$J:$J))</f>
        <v/>
      </c>
      <c r="G373" s="21" t="str">
        <f>IF($D373="","",SUMIF(Verkäufe!$F:$F,$D373,Verkäufe!$K:$K))</f>
        <v/>
      </c>
    </row>
    <row r="374" spans="4:7" x14ac:dyDescent="0.3">
      <c r="D374" t="str">
        <f>IF(Artikel!$B372="","",Artikel!$B372)</f>
        <v/>
      </c>
      <c r="E374" t="str">
        <f>IF($D374="","",SUMIF(Verkäufe!$F:$F,$D374,Verkäufe!$G:$G))</f>
        <v/>
      </c>
      <c r="F374" s="21" t="str">
        <f>IF($D374="","",SUMIF(Verkäufe!$F:$F,$D374,Verkäufe!$J:$J))</f>
        <v/>
      </c>
      <c r="G374" s="21" t="str">
        <f>IF($D374="","",SUMIF(Verkäufe!$F:$F,$D374,Verkäufe!$K:$K))</f>
        <v/>
      </c>
    </row>
    <row r="375" spans="4:7" x14ac:dyDescent="0.3">
      <c r="D375" t="str">
        <f>IF(Artikel!$B373="","",Artikel!$B373)</f>
        <v/>
      </c>
      <c r="E375" t="str">
        <f>IF($D375="","",SUMIF(Verkäufe!$F:$F,$D375,Verkäufe!$G:$G))</f>
        <v/>
      </c>
      <c r="F375" s="21" t="str">
        <f>IF($D375="","",SUMIF(Verkäufe!$F:$F,$D375,Verkäufe!$J:$J))</f>
        <v/>
      </c>
      <c r="G375" s="21" t="str">
        <f>IF($D375="","",SUMIF(Verkäufe!$F:$F,$D375,Verkäufe!$K:$K))</f>
        <v/>
      </c>
    </row>
    <row r="376" spans="4:7" x14ac:dyDescent="0.3">
      <c r="D376" t="str">
        <f>IF(Artikel!$B374="","",Artikel!$B374)</f>
        <v/>
      </c>
      <c r="E376" t="str">
        <f>IF($D376="","",SUMIF(Verkäufe!$F:$F,$D376,Verkäufe!$G:$G))</f>
        <v/>
      </c>
      <c r="F376" s="21" t="str">
        <f>IF($D376="","",SUMIF(Verkäufe!$F:$F,$D376,Verkäufe!$J:$J))</f>
        <v/>
      </c>
      <c r="G376" s="21" t="str">
        <f>IF($D376="","",SUMIF(Verkäufe!$F:$F,$D376,Verkäufe!$K:$K))</f>
        <v/>
      </c>
    </row>
    <row r="377" spans="4:7" x14ac:dyDescent="0.3">
      <c r="D377" t="str">
        <f>IF(Artikel!$B375="","",Artikel!$B375)</f>
        <v/>
      </c>
      <c r="E377" t="str">
        <f>IF($D377="","",SUMIF(Verkäufe!$F:$F,$D377,Verkäufe!$G:$G))</f>
        <v/>
      </c>
      <c r="F377" s="21" t="str">
        <f>IF($D377="","",SUMIF(Verkäufe!$F:$F,$D377,Verkäufe!$J:$J))</f>
        <v/>
      </c>
      <c r="G377" s="21" t="str">
        <f>IF($D377="","",SUMIF(Verkäufe!$F:$F,$D377,Verkäufe!$K:$K))</f>
        <v/>
      </c>
    </row>
    <row r="378" spans="4:7" x14ac:dyDescent="0.3">
      <c r="D378" t="str">
        <f>IF(Artikel!$B376="","",Artikel!$B376)</f>
        <v/>
      </c>
      <c r="E378" t="str">
        <f>IF($D378="","",SUMIF(Verkäufe!$F:$F,$D378,Verkäufe!$G:$G))</f>
        <v/>
      </c>
      <c r="F378" s="21" t="str">
        <f>IF($D378="","",SUMIF(Verkäufe!$F:$F,$D378,Verkäufe!$J:$J))</f>
        <v/>
      </c>
      <c r="G378" s="21" t="str">
        <f>IF($D378="","",SUMIF(Verkäufe!$F:$F,$D378,Verkäufe!$K:$K))</f>
        <v/>
      </c>
    </row>
    <row r="379" spans="4:7" x14ac:dyDescent="0.3">
      <c r="D379" t="str">
        <f>IF(Artikel!$B377="","",Artikel!$B377)</f>
        <v/>
      </c>
      <c r="E379" t="str">
        <f>IF($D379="","",SUMIF(Verkäufe!$F:$F,$D379,Verkäufe!$G:$G))</f>
        <v/>
      </c>
      <c r="F379" s="21" t="str">
        <f>IF($D379="","",SUMIF(Verkäufe!$F:$F,$D379,Verkäufe!$J:$J))</f>
        <v/>
      </c>
      <c r="G379" s="21" t="str">
        <f>IF($D379="","",SUMIF(Verkäufe!$F:$F,$D379,Verkäufe!$K:$K))</f>
        <v/>
      </c>
    </row>
    <row r="380" spans="4:7" x14ac:dyDescent="0.3">
      <c r="D380" t="str">
        <f>IF(Artikel!$B378="","",Artikel!$B378)</f>
        <v/>
      </c>
      <c r="E380" t="str">
        <f>IF($D380="","",SUMIF(Verkäufe!$F:$F,$D380,Verkäufe!$G:$G))</f>
        <v/>
      </c>
      <c r="F380" s="21" t="str">
        <f>IF($D380="","",SUMIF(Verkäufe!$F:$F,$D380,Verkäufe!$J:$J))</f>
        <v/>
      </c>
      <c r="G380" s="21" t="str">
        <f>IF($D380="","",SUMIF(Verkäufe!$F:$F,$D380,Verkäufe!$K:$K))</f>
        <v/>
      </c>
    </row>
    <row r="381" spans="4:7" x14ac:dyDescent="0.3">
      <c r="D381" t="str">
        <f>IF(Artikel!$B379="","",Artikel!$B379)</f>
        <v/>
      </c>
      <c r="E381" t="str">
        <f>IF($D381="","",SUMIF(Verkäufe!$F:$F,$D381,Verkäufe!$G:$G))</f>
        <v/>
      </c>
      <c r="F381" s="21" t="str">
        <f>IF($D381="","",SUMIF(Verkäufe!$F:$F,$D381,Verkäufe!$J:$J))</f>
        <v/>
      </c>
      <c r="G381" s="21" t="str">
        <f>IF($D381="","",SUMIF(Verkäufe!$F:$F,$D381,Verkäufe!$K:$K))</f>
        <v/>
      </c>
    </row>
    <row r="382" spans="4:7" x14ac:dyDescent="0.3">
      <c r="D382" t="str">
        <f>IF(Artikel!$B380="","",Artikel!$B380)</f>
        <v/>
      </c>
      <c r="E382" t="str">
        <f>IF($D382="","",SUMIF(Verkäufe!$F:$F,$D382,Verkäufe!$G:$G))</f>
        <v/>
      </c>
      <c r="F382" s="21" t="str">
        <f>IF($D382="","",SUMIF(Verkäufe!$F:$F,$D382,Verkäufe!$J:$J))</f>
        <v/>
      </c>
      <c r="G382" s="21" t="str">
        <f>IF($D382="","",SUMIF(Verkäufe!$F:$F,$D382,Verkäufe!$K:$K))</f>
        <v/>
      </c>
    </row>
    <row r="383" spans="4:7" x14ac:dyDescent="0.3">
      <c r="D383" t="str">
        <f>IF(Artikel!$B381="","",Artikel!$B381)</f>
        <v/>
      </c>
      <c r="E383" t="str">
        <f>IF($D383="","",SUMIF(Verkäufe!$F:$F,$D383,Verkäufe!$G:$G))</f>
        <v/>
      </c>
      <c r="F383" s="21" t="str">
        <f>IF($D383="","",SUMIF(Verkäufe!$F:$F,$D383,Verkäufe!$J:$J))</f>
        <v/>
      </c>
      <c r="G383" s="21" t="str">
        <f>IF($D383="","",SUMIF(Verkäufe!$F:$F,$D383,Verkäufe!$K:$K))</f>
        <v/>
      </c>
    </row>
    <row r="384" spans="4:7" x14ac:dyDescent="0.3">
      <c r="D384" t="str">
        <f>IF(Artikel!$B382="","",Artikel!$B382)</f>
        <v/>
      </c>
      <c r="E384" t="str">
        <f>IF($D384="","",SUMIF(Verkäufe!$F:$F,$D384,Verkäufe!$G:$G))</f>
        <v/>
      </c>
      <c r="F384" s="21" t="str">
        <f>IF($D384="","",SUMIF(Verkäufe!$F:$F,$D384,Verkäufe!$J:$J))</f>
        <v/>
      </c>
      <c r="G384" s="21" t="str">
        <f>IF($D384="","",SUMIF(Verkäufe!$F:$F,$D384,Verkäufe!$K:$K))</f>
        <v/>
      </c>
    </row>
    <row r="385" spans="4:7" x14ac:dyDescent="0.3">
      <c r="D385" t="str">
        <f>IF(Artikel!$B383="","",Artikel!$B383)</f>
        <v/>
      </c>
      <c r="E385" t="str">
        <f>IF($D385="","",SUMIF(Verkäufe!$F:$F,$D385,Verkäufe!$G:$G))</f>
        <v/>
      </c>
      <c r="F385" s="21" t="str">
        <f>IF($D385="","",SUMIF(Verkäufe!$F:$F,$D385,Verkäufe!$J:$J))</f>
        <v/>
      </c>
      <c r="G385" s="21" t="str">
        <f>IF($D385="","",SUMIF(Verkäufe!$F:$F,$D385,Verkäufe!$K:$K))</f>
        <v/>
      </c>
    </row>
    <row r="386" spans="4:7" x14ac:dyDescent="0.3">
      <c r="D386" t="str">
        <f>IF(Artikel!$B384="","",Artikel!$B384)</f>
        <v/>
      </c>
      <c r="E386" t="str">
        <f>IF($D386="","",SUMIF(Verkäufe!$F:$F,$D386,Verkäufe!$G:$G))</f>
        <v/>
      </c>
      <c r="F386" s="21" t="str">
        <f>IF($D386="","",SUMIF(Verkäufe!$F:$F,$D386,Verkäufe!$J:$J))</f>
        <v/>
      </c>
      <c r="G386" s="21" t="str">
        <f>IF($D386="","",SUMIF(Verkäufe!$F:$F,$D386,Verkäufe!$K:$K))</f>
        <v/>
      </c>
    </row>
    <row r="387" spans="4:7" x14ac:dyDescent="0.3">
      <c r="D387" t="str">
        <f>IF(Artikel!$B385="","",Artikel!$B385)</f>
        <v/>
      </c>
      <c r="E387" t="str">
        <f>IF($D387="","",SUMIF(Verkäufe!$F:$F,$D387,Verkäufe!$G:$G))</f>
        <v/>
      </c>
      <c r="F387" s="21" t="str">
        <f>IF($D387="","",SUMIF(Verkäufe!$F:$F,$D387,Verkäufe!$J:$J))</f>
        <v/>
      </c>
      <c r="G387" s="21" t="str">
        <f>IF($D387="","",SUMIF(Verkäufe!$F:$F,$D387,Verkäufe!$K:$K))</f>
        <v/>
      </c>
    </row>
    <row r="388" spans="4:7" x14ac:dyDescent="0.3">
      <c r="D388" t="str">
        <f>IF(Artikel!$B386="","",Artikel!$B386)</f>
        <v/>
      </c>
      <c r="E388" t="str">
        <f>IF($D388="","",SUMIF(Verkäufe!$F:$F,$D388,Verkäufe!$G:$G))</f>
        <v/>
      </c>
      <c r="F388" s="21" t="str">
        <f>IF($D388="","",SUMIF(Verkäufe!$F:$F,$D388,Verkäufe!$J:$J))</f>
        <v/>
      </c>
      <c r="G388" s="21" t="str">
        <f>IF($D388="","",SUMIF(Verkäufe!$F:$F,$D388,Verkäufe!$K:$K))</f>
        <v/>
      </c>
    </row>
    <row r="389" spans="4:7" x14ac:dyDescent="0.3">
      <c r="D389" t="str">
        <f>IF(Artikel!$B387="","",Artikel!$B387)</f>
        <v/>
      </c>
      <c r="E389" t="str">
        <f>IF($D389="","",SUMIF(Verkäufe!$F:$F,$D389,Verkäufe!$G:$G))</f>
        <v/>
      </c>
      <c r="F389" s="21" t="str">
        <f>IF($D389="","",SUMIF(Verkäufe!$F:$F,$D389,Verkäufe!$J:$J))</f>
        <v/>
      </c>
      <c r="G389" s="21" t="str">
        <f>IF($D389="","",SUMIF(Verkäufe!$F:$F,$D389,Verkäufe!$K:$K))</f>
        <v/>
      </c>
    </row>
    <row r="390" spans="4:7" x14ac:dyDescent="0.3">
      <c r="D390" t="str">
        <f>IF(Artikel!$B388="","",Artikel!$B388)</f>
        <v/>
      </c>
      <c r="E390" t="str">
        <f>IF($D390="","",SUMIF(Verkäufe!$F:$F,$D390,Verkäufe!$G:$G))</f>
        <v/>
      </c>
      <c r="F390" s="21" t="str">
        <f>IF($D390="","",SUMIF(Verkäufe!$F:$F,$D390,Verkäufe!$J:$J))</f>
        <v/>
      </c>
      <c r="G390" s="21" t="str">
        <f>IF($D390="","",SUMIF(Verkäufe!$F:$F,$D390,Verkäufe!$K:$K))</f>
        <v/>
      </c>
    </row>
    <row r="391" spans="4:7" x14ac:dyDescent="0.3">
      <c r="D391" t="str">
        <f>IF(Artikel!$B389="","",Artikel!$B389)</f>
        <v/>
      </c>
      <c r="E391" t="str">
        <f>IF($D391="","",SUMIF(Verkäufe!$F:$F,$D391,Verkäufe!$G:$G))</f>
        <v/>
      </c>
      <c r="F391" s="21" t="str">
        <f>IF($D391="","",SUMIF(Verkäufe!$F:$F,$D391,Verkäufe!$J:$J))</f>
        <v/>
      </c>
      <c r="G391" s="21" t="str">
        <f>IF($D391="","",SUMIF(Verkäufe!$F:$F,$D391,Verkäufe!$K:$K))</f>
        <v/>
      </c>
    </row>
    <row r="392" spans="4:7" x14ac:dyDescent="0.3">
      <c r="D392" t="str">
        <f>IF(Artikel!$B390="","",Artikel!$B390)</f>
        <v/>
      </c>
      <c r="E392" t="str">
        <f>IF($D392="","",SUMIF(Verkäufe!$F:$F,$D392,Verkäufe!$G:$G))</f>
        <v/>
      </c>
      <c r="F392" s="21" t="str">
        <f>IF($D392="","",SUMIF(Verkäufe!$F:$F,$D392,Verkäufe!$J:$J))</f>
        <v/>
      </c>
      <c r="G392" s="21" t="str">
        <f>IF($D392="","",SUMIF(Verkäufe!$F:$F,$D392,Verkäufe!$K:$K))</f>
        <v/>
      </c>
    </row>
    <row r="393" spans="4:7" x14ac:dyDescent="0.3">
      <c r="D393" t="str">
        <f>IF(Artikel!$B391="","",Artikel!$B391)</f>
        <v/>
      </c>
      <c r="E393" t="str">
        <f>IF($D393="","",SUMIF(Verkäufe!$F:$F,$D393,Verkäufe!$G:$G))</f>
        <v/>
      </c>
      <c r="F393" s="21" t="str">
        <f>IF($D393="","",SUMIF(Verkäufe!$F:$F,$D393,Verkäufe!$J:$J))</f>
        <v/>
      </c>
      <c r="G393" s="21" t="str">
        <f>IF($D393="","",SUMIF(Verkäufe!$F:$F,$D393,Verkäufe!$K:$K))</f>
        <v/>
      </c>
    </row>
    <row r="394" spans="4:7" x14ac:dyDescent="0.3">
      <c r="D394" t="str">
        <f>IF(Artikel!$B392="","",Artikel!$B392)</f>
        <v/>
      </c>
      <c r="E394" t="str">
        <f>IF($D394="","",SUMIF(Verkäufe!$F:$F,$D394,Verkäufe!$G:$G))</f>
        <v/>
      </c>
      <c r="F394" s="21" t="str">
        <f>IF($D394="","",SUMIF(Verkäufe!$F:$F,$D394,Verkäufe!$J:$J))</f>
        <v/>
      </c>
      <c r="G394" s="21" t="str">
        <f>IF($D394="","",SUMIF(Verkäufe!$F:$F,$D394,Verkäufe!$K:$K))</f>
        <v/>
      </c>
    </row>
    <row r="395" spans="4:7" x14ac:dyDescent="0.3">
      <c r="D395" t="str">
        <f>IF(Artikel!$B393="","",Artikel!$B393)</f>
        <v/>
      </c>
      <c r="E395" t="str">
        <f>IF($D395="","",SUMIF(Verkäufe!$F:$F,$D395,Verkäufe!$G:$G))</f>
        <v/>
      </c>
      <c r="F395" s="21" t="str">
        <f>IF($D395="","",SUMIF(Verkäufe!$F:$F,$D395,Verkäufe!$J:$J))</f>
        <v/>
      </c>
      <c r="G395" s="21" t="str">
        <f>IF($D395="","",SUMIF(Verkäufe!$F:$F,$D395,Verkäufe!$K:$K))</f>
        <v/>
      </c>
    </row>
    <row r="396" spans="4:7" x14ac:dyDescent="0.3">
      <c r="D396" t="str">
        <f>IF(Artikel!$B394="","",Artikel!$B394)</f>
        <v/>
      </c>
      <c r="E396" t="str">
        <f>IF($D396="","",SUMIF(Verkäufe!$F:$F,$D396,Verkäufe!$G:$G))</f>
        <v/>
      </c>
      <c r="F396" s="21" t="str">
        <f>IF($D396="","",SUMIF(Verkäufe!$F:$F,$D396,Verkäufe!$J:$J))</f>
        <v/>
      </c>
      <c r="G396" s="21" t="str">
        <f>IF($D396="","",SUMIF(Verkäufe!$F:$F,$D396,Verkäufe!$K:$K))</f>
        <v/>
      </c>
    </row>
    <row r="397" spans="4:7" x14ac:dyDescent="0.3">
      <c r="D397" t="str">
        <f>IF(Artikel!$B395="","",Artikel!$B395)</f>
        <v/>
      </c>
      <c r="E397" t="str">
        <f>IF($D397="","",SUMIF(Verkäufe!$F:$F,$D397,Verkäufe!$G:$G))</f>
        <v/>
      </c>
      <c r="F397" s="21" t="str">
        <f>IF($D397="","",SUMIF(Verkäufe!$F:$F,$D397,Verkäufe!$J:$J))</f>
        <v/>
      </c>
      <c r="G397" s="21" t="str">
        <f>IF($D397="","",SUMIF(Verkäufe!$F:$F,$D397,Verkäufe!$K:$K))</f>
        <v/>
      </c>
    </row>
    <row r="398" spans="4:7" x14ac:dyDescent="0.3">
      <c r="D398" t="str">
        <f>IF(Artikel!$B396="","",Artikel!$B396)</f>
        <v/>
      </c>
      <c r="E398" t="str">
        <f>IF($D398="","",SUMIF(Verkäufe!$F:$F,$D398,Verkäufe!$G:$G))</f>
        <v/>
      </c>
      <c r="F398" s="21" t="str">
        <f>IF($D398="","",SUMIF(Verkäufe!$F:$F,$D398,Verkäufe!$J:$J))</f>
        <v/>
      </c>
      <c r="G398" s="21" t="str">
        <f>IF($D398="","",SUMIF(Verkäufe!$F:$F,$D398,Verkäufe!$K:$K))</f>
        <v/>
      </c>
    </row>
    <row r="399" spans="4:7" x14ac:dyDescent="0.3">
      <c r="D399" t="str">
        <f>IF(Artikel!$B397="","",Artikel!$B397)</f>
        <v/>
      </c>
      <c r="E399" t="str">
        <f>IF($D399="","",SUMIF(Verkäufe!$F:$F,$D399,Verkäufe!$G:$G))</f>
        <v/>
      </c>
      <c r="F399" s="21" t="str">
        <f>IF($D399="","",SUMIF(Verkäufe!$F:$F,$D399,Verkäufe!$J:$J))</f>
        <v/>
      </c>
      <c r="G399" s="21" t="str">
        <f>IF($D399="","",SUMIF(Verkäufe!$F:$F,$D399,Verkäufe!$K:$K))</f>
        <v/>
      </c>
    </row>
    <row r="400" spans="4:7" x14ac:dyDescent="0.3">
      <c r="D400" t="str">
        <f>IF(Artikel!$B398="","",Artikel!$B398)</f>
        <v/>
      </c>
      <c r="E400" t="str">
        <f>IF($D400="","",SUMIF(Verkäufe!$F:$F,$D400,Verkäufe!$G:$G))</f>
        <v/>
      </c>
      <c r="F400" s="21" t="str">
        <f>IF($D400="","",SUMIF(Verkäufe!$F:$F,$D400,Verkäufe!$J:$J))</f>
        <v/>
      </c>
      <c r="G400" s="21" t="str">
        <f>IF($D400="","",SUMIF(Verkäufe!$F:$F,$D400,Verkäufe!$K:$K))</f>
        <v/>
      </c>
    </row>
    <row r="401" spans="4:7" x14ac:dyDescent="0.3">
      <c r="D401" t="str">
        <f>IF(Artikel!$B399="","",Artikel!$B399)</f>
        <v/>
      </c>
      <c r="E401" t="str">
        <f>IF($D401="","",SUMIF(Verkäufe!$F:$F,$D401,Verkäufe!$G:$G))</f>
        <v/>
      </c>
      <c r="F401" s="21" t="str">
        <f>IF($D401="","",SUMIF(Verkäufe!$F:$F,$D401,Verkäufe!$J:$J))</f>
        <v/>
      </c>
      <c r="G401" s="21" t="str">
        <f>IF($D401="","",SUMIF(Verkäufe!$F:$F,$D401,Verkäufe!$K:$K))</f>
        <v/>
      </c>
    </row>
    <row r="402" spans="4:7" x14ac:dyDescent="0.3">
      <c r="D402" t="str">
        <f>IF(Artikel!$B400="","",Artikel!$B400)</f>
        <v/>
      </c>
      <c r="E402" t="str">
        <f>IF($D402="","",SUMIF(Verkäufe!$F:$F,$D402,Verkäufe!$G:$G))</f>
        <v/>
      </c>
      <c r="F402" s="21" t="str">
        <f>IF($D402="","",SUMIF(Verkäufe!$F:$F,$D402,Verkäufe!$J:$J))</f>
        <v/>
      </c>
      <c r="G402" s="21" t="str">
        <f>IF($D402="","",SUMIF(Verkäufe!$F:$F,$D402,Verkäufe!$K:$K))</f>
        <v/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Start</vt:lpstr>
      <vt:lpstr>Kategorien</vt:lpstr>
      <vt:lpstr>Artikel</vt:lpstr>
      <vt:lpstr>Rezepte</vt:lpstr>
      <vt:lpstr>Kasse</vt:lpstr>
      <vt:lpstr>Verkäufe</vt:lpstr>
      <vt:lpstr>Bestandshistorie</vt:lpstr>
      <vt:lpstr>Einkaufsliste</vt:lpstr>
      <vt:lpstr>Statistik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Oleg Kuhn</cp:lastModifiedBy>
  <dcterms:created xsi:type="dcterms:W3CDTF">2026-08-10T19:10:33Z</dcterms:created>
  <dcterms:modified xsi:type="dcterms:W3CDTF">2026-08-10T19:20:05Z</dcterms:modified>
</cp:coreProperties>
</file>